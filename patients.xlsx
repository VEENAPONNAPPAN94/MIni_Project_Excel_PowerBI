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COURSE\MINIPROJECT\Hospital+Patient+Records\Tables\"/>
    </mc:Choice>
  </mc:AlternateContent>
  <xr:revisionPtr revIDLastSave="0" documentId="13_ncr:1_{25C6143A-B436-4FF4-96A7-60A405C18C5A}" xr6:coauthVersionLast="47" xr6:coauthVersionMax="47" xr10:uidLastSave="{00000000-0000-0000-0000-000000000000}"/>
  <bookViews>
    <workbookView xWindow="-108" yWindow="-108" windowWidth="23256" windowHeight="12456" xr2:uid="{38BE1683-24B1-40C5-89FB-FEA53EB3BF27}"/>
  </bookViews>
  <sheets>
    <sheet name="pati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7" i="1"/>
  <c r="C8" i="1"/>
  <c r="C9" i="1"/>
  <c r="C10" i="1"/>
  <c r="C11" i="1"/>
  <c r="C12" i="1"/>
  <c r="C13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4" i="1"/>
  <c r="C35" i="1"/>
  <c r="C36" i="1"/>
  <c r="C37" i="1"/>
  <c r="C38" i="1"/>
  <c r="C39" i="1"/>
  <c r="C40" i="1"/>
  <c r="C42" i="1"/>
  <c r="C43" i="1"/>
  <c r="C44" i="1"/>
  <c r="C45" i="1"/>
  <c r="C46" i="1"/>
  <c r="C47" i="1"/>
  <c r="C50" i="1"/>
  <c r="C52" i="1"/>
  <c r="C55" i="1"/>
  <c r="C57" i="1"/>
  <c r="C58" i="1"/>
  <c r="C59" i="1"/>
  <c r="C60" i="1"/>
  <c r="C61" i="1"/>
  <c r="C63" i="1"/>
  <c r="C64" i="1"/>
  <c r="C65" i="1"/>
  <c r="C66" i="1"/>
  <c r="C67" i="1"/>
  <c r="C68" i="1"/>
  <c r="C69" i="1"/>
  <c r="C71" i="1"/>
  <c r="C73" i="1"/>
  <c r="C74" i="1"/>
  <c r="C75" i="1"/>
  <c r="C77" i="1"/>
  <c r="C79" i="1"/>
  <c r="C80" i="1"/>
  <c r="C81" i="1"/>
  <c r="C82" i="1"/>
  <c r="C83" i="1"/>
  <c r="C84" i="1"/>
  <c r="C85" i="1"/>
  <c r="C87" i="1"/>
  <c r="C88" i="1"/>
  <c r="C89" i="1"/>
  <c r="C90" i="1"/>
  <c r="C92" i="1"/>
  <c r="C94" i="1"/>
  <c r="C95" i="1"/>
  <c r="C96" i="1"/>
  <c r="C97" i="1"/>
  <c r="C98" i="1"/>
  <c r="C99" i="1"/>
  <c r="C100" i="1"/>
  <c r="C101" i="1"/>
  <c r="C102" i="1"/>
  <c r="C107" i="1"/>
  <c r="C108" i="1"/>
  <c r="C109" i="1"/>
  <c r="C110" i="1"/>
  <c r="C112" i="1"/>
  <c r="C113" i="1"/>
  <c r="C114" i="1"/>
  <c r="C115" i="1"/>
  <c r="C116" i="1"/>
  <c r="C117" i="1"/>
  <c r="C118" i="1"/>
  <c r="C119" i="1"/>
  <c r="C120" i="1"/>
  <c r="C122" i="1"/>
  <c r="C123" i="1"/>
  <c r="C124" i="1"/>
  <c r="C125" i="1"/>
  <c r="C126" i="1"/>
  <c r="C127" i="1"/>
  <c r="C128" i="1"/>
  <c r="C129" i="1"/>
  <c r="C130" i="1"/>
  <c r="C131" i="1"/>
  <c r="C132" i="1"/>
  <c r="C134" i="1"/>
  <c r="C136" i="1"/>
  <c r="C137" i="1"/>
  <c r="C138" i="1"/>
  <c r="C139" i="1"/>
  <c r="C140" i="1"/>
  <c r="C141" i="1"/>
  <c r="C143" i="1"/>
  <c r="C145" i="1"/>
  <c r="C146" i="1"/>
  <c r="C147" i="1"/>
  <c r="C148" i="1"/>
  <c r="C149" i="1"/>
  <c r="C150" i="1"/>
  <c r="C152" i="1"/>
  <c r="C153" i="1"/>
  <c r="C155" i="1"/>
  <c r="C156" i="1"/>
  <c r="C157" i="1"/>
  <c r="C158" i="1"/>
  <c r="C159" i="1"/>
  <c r="C161" i="1"/>
  <c r="C162" i="1"/>
  <c r="C163" i="1"/>
  <c r="C164" i="1"/>
  <c r="C165" i="1"/>
  <c r="C167" i="1"/>
  <c r="C168" i="1"/>
  <c r="C169" i="1"/>
  <c r="C170" i="1"/>
  <c r="C171" i="1"/>
  <c r="C172" i="1"/>
  <c r="C173" i="1"/>
  <c r="C174" i="1"/>
  <c r="C175" i="1"/>
  <c r="C176" i="1"/>
  <c r="C179" i="1"/>
  <c r="C181" i="1"/>
  <c r="C182" i="1"/>
  <c r="C184" i="1"/>
  <c r="C185" i="1"/>
  <c r="C186" i="1"/>
  <c r="C187" i="1"/>
  <c r="C188" i="1"/>
  <c r="C189" i="1"/>
  <c r="C191" i="1"/>
  <c r="C192" i="1"/>
  <c r="C194" i="1"/>
  <c r="C196" i="1"/>
  <c r="C197" i="1"/>
  <c r="C198" i="1"/>
  <c r="C199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7" i="1"/>
  <c r="C228" i="1"/>
  <c r="C229" i="1"/>
  <c r="C230" i="1"/>
  <c r="C231" i="1"/>
  <c r="C232" i="1"/>
  <c r="C233" i="1"/>
  <c r="C234" i="1"/>
  <c r="C235" i="1"/>
  <c r="C237" i="1"/>
  <c r="C238" i="1"/>
  <c r="C240" i="1"/>
  <c r="C241" i="1"/>
  <c r="C242" i="1"/>
  <c r="C243" i="1"/>
  <c r="C245" i="1"/>
  <c r="C246" i="1"/>
  <c r="C247" i="1"/>
  <c r="C248" i="1"/>
  <c r="C249" i="1"/>
  <c r="C250" i="1"/>
  <c r="C252" i="1"/>
  <c r="C253" i="1"/>
  <c r="C254" i="1"/>
  <c r="C255" i="1"/>
  <c r="C256" i="1"/>
  <c r="C257" i="1"/>
  <c r="C258" i="1"/>
  <c r="C259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9" i="1"/>
  <c r="C300" i="1"/>
  <c r="C301" i="1"/>
  <c r="C302" i="1"/>
  <c r="C303" i="1"/>
  <c r="C304" i="1"/>
  <c r="C305" i="1"/>
  <c r="C306" i="1"/>
  <c r="C308" i="1"/>
  <c r="C309" i="1"/>
  <c r="C310" i="1"/>
  <c r="C313" i="1"/>
  <c r="C314" i="1"/>
  <c r="C315" i="1"/>
  <c r="C316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3" i="1"/>
  <c r="C334" i="1"/>
  <c r="C335" i="1"/>
  <c r="C336" i="1"/>
  <c r="C340" i="1"/>
  <c r="C341" i="1"/>
  <c r="C342" i="1"/>
  <c r="C343" i="1"/>
  <c r="C345" i="1"/>
  <c r="C346" i="1"/>
  <c r="C347" i="1"/>
  <c r="C348" i="1"/>
  <c r="C349" i="1"/>
  <c r="C351" i="1"/>
  <c r="C352" i="1"/>
  <c r="C353" i="1"/>
  <c r="C354" i="1"/>
  <c r="C355" i="1"/>
  <c r="C356" i="1"/>
  <c r="C357" i="1"/>
  <c r="C358" i="1"/>
  <c r="C359" i="1"/>
  <c r="C361" i="1"/>
  <c r="C362" i="1"/>
  <c r="C363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5" i="1"/>
  <c r="C386" i="1"/>
  <c r="C387" i="1"/>
  <c r="C388" i="1"/>
  <c r="C389" i="1"/>
  <c r="C390" i="1"/>
  <c r="C391" i="1"/>
  <c r="C392" i="1"/>
  <c r="C394" i="1"/>
  <c r="C395" i="1"/>
  <c r="C396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4" i="1"/>
  <c r="C445" i="1"/>
  <c r="C446" i="1"/>
  <c r="C447" i="1"/>
  <c r="C449" i="1"/>
  <c r="C450" i="1"/>
  <c r="C451" i="1"/>
  <c r="C453" i="1"/>
  <c r="C454" i="1"/>
  <c r="C455" i="1"/>
  <c r="C456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2" i="1"/>
  <c r="C473" i="1"/>
  <c r="C474" i="1"/>
  <c r="C475" i="1"/>
  <c r="C476" i="1"/>
  <c r="C477" i="1"/>
  <c r="C478" i="1"/>
  <c r="C479" i="1"/>
  <c r="C480" i="1"/>
  <c r="C482" i="1"/>
  <c r="C484" i="1"/>
  <c r="C485" i="1"/>
  <c r="C486" i="1"/>
  <c r="C487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4" i="1"/>
  <c r="C505" i="1"/>
  <c r="C506" i="1"/>
  <c r="C507" i="1"/>
  <c r="C508" i="1"/>
  <c r="C510" i="1"/>
  <c r="C511" i="1"/>
  <c r="C512" i="1"/>
  <c r="C513" i="1"/>
  <c r="C514" i="1"/>
  <c r="C515" i="1"/>
  <c r="C517" i="1"/>
  <c r="C518" i="1"/>
  <c r="C519" i="1"/>
  <c r="C520" i="1"/>
  <c r="C521" i="1"/>
  <c r="C522" i="1"/>
  <c r="C523" i="1"/>
  <c r="C524" i="1"/>
  <c r="C526" i="1"/>
  <c r="C527" i="1"/>
  <c r="C528" i="1"/>
  <c r="C529" i="1"/>
  <c r="C530" i="1"/>
  <c r="C532" i="1"/>
  <c r="C533" i="1"/>
  <c r="C534" i="1"/>
  <c r="C535" i="1"/>
  <c r="C537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3" i="1"/>
  <c r="C564" i="1"/>
  <c r="C565" i="1"/>
  <c r="C566" i="1"/>
  <c r="C568" i="1"/>
  <c r="C569" i="1"/>
  <c r="C570" i="1"/>
  <c r="C572" i="1"/>
  <c r="C573" i="1"/>
  <c r="C574" i="1"/>
  <c r="C576" i="1"/>
  <c r="C577" i="1"/>
  <c r="C578" i="1"/>
  <c r="C579" i="1"/>
  <c r="C580" i="1"/>
  <c r="C581" i="1"/>
  <c r="C582" i="1"/>
  <c r="C583" i="1"/>
  <c r="C584" i="1"/>
  <c r="C587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9" i="1"/>
  <c r="C620" i="1"/>
  <c r="C621" i="1"/>
  <c r="C623" i="1"/>
  <c r="C625" i="1"/>
  <c r="C627" i="1"/>
  <c r="C628" i="1"/>
  <c r="C629" i="1"/>
  <c r="C631" i="1"/>
  <c r="C632" i="1"/>
  <c r="C633" i="1"/>
  <c r="C634" i="1"/>
  <c r="C635" i="1"/>
  <c r="C636" i="1"/>
  <c r="C638" i="1"/>
  <c r="C639" i="1"/>
  <c r="C640" i="1"/>
  <c r="C641" i="1"/>
  <c r="C642" i="1"/>
  <c r="C643" i="1"/>
  <c r="C645" i="1"/>
  <c r="C647" i="1"/>
  <c r="C648" i="1"/>
  <c r="C649" i="1"/>
  <c r="C650" i="1"/>
  <c r="C651" i="1"/>
  <c r="C652" i="1"/>
  <c r="C653" i="1"/>
  <c r="C654" i="1"/>
  <c r="C655" i="1"/>
  <c r="C656" i="1"/>
  <c r="C657" i="1"/>
  <c r="C660" i="1"/>
  <c r="C661" i="1"/>
  <c r="C662" i="1"/>
  <c r="C664" i="1"/>
  <c r="C665" i="1"/>
  <c r="C666" i="1"/>
  <c r="C667" i="1"/>
  <c r="C668" i="1"/>
  <c r="C669" i="1"/>
  <c r="C670" i="1"/>
  <c r="C671" i="1"/>
  <c r="C672" i="1"/>
  <c r="C673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3" i="1"/>
  <c r="C695" i="1"/>
  <c r="C699" i="1"/>
  <c r="C701" i="1"/>
  <c r="C702" i="1"/>
  <c r="C703" i="1"/>
  <c r="C704" i="1"/>
  <c r="C705" i="1"/>
  <c r="C706" i="1"/>
  <c r="C707" i="1"/>
  <c r="C708" i="1"/>
  <c r="C710" i="1"/>
  <c r="C711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6" i="1"/>
  <c r="C727" i="1"/>
  <c r="C728" i="1"/>
  <c r="C729" i="1"/>
  <c r="C730" i="1"/>
  <c r="C731" i="1"/>
  <c r="C732" i="1"/>
  <c r="C733" i="1"/>
  <c r="C734" i="1"/>
  <c r="C735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7" i="1"/>
  <c r="C759" i="1"/>
  <c r="C762" i="1"/>
  <c r="C763" i="1"/>
  <c r="C764" i="1"/>
  <c r="C766" i="1"/>
  <c r="C770" i="1"/>
  <c r="C772" i="1"/>
  <c r="C773" i="1"/>
  <c r="C774" i="1"/>
  <c r="C775" i="1"/>
  <c r="C776" i="1"/>
  <c r="C777" i="1"/>
  <c r="C779" i="1"/>
  <c r="C781" i="1"/>
  <c r="C782" i="1"/>
  <c r="C783" i="1"/>
  <c r="C784" i="1"/>
  <c r="C785" i="1"/>
  <c r="C786" i="1"/>
  <c r="C787" i="1"/>
  <c r="C788" i="1"/>
  <c r="C789" i="1"/>
  <c r="C790" i="1"/>
  <c r="C792" i="1"/>
  <c r="C793" i="1"/>
  <c r="C794" i="1"/>
  <c r="C795" i="1"/>
  <c r="C796" i="1"/>
  <c r="C797" i="1"/>
  <c r="C798" i="1"/>
  <c r="C799" i="1"/>
  <c r="C800" i="1"/>
  <c r="C801" i="1"/>
  <c r="C802" i="1"/>
  <c r="C804" i="1"/>
  <c r="C805" i="1"/>
  <c r="C806" i="1"/>
  <c r="C807" i="1"/>
  <c r="C809" i="1"/>
  <c r="C810" i="1"/>
  <c r="C811" i="1"/>
  <c r="C812" i="1"/>
  <c r="C813" i="1"/>
  <c r="C814" i="1"/>
  <c r="C815" i="1"/>
  <c r="C817" i="1"/>
  <c r="C818" i="1"/>
  <c r="C819" i="1"/>
  <c r="C820" i="1"/>
  <c r="C821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9" i="1"/>
  <c r="C840" i="1"/>
  <c r="C841" i="1"/>
  <c r="C842" i="1"/>
  <c r="C843" i="1"/>
  <c r="C844" i="1"/>
  <c r="C845" i="1"/>
  <c r="C847" i="1"/>
  <c r="C848" i="1"/>
  <c r="C850" i="1"/>
  <c r="C851" i="1"/>
  <c r="C852" i="1"/>
  <c r="C853" i="1"/>
  <c r="C854" i="1"/>
  <c r="C856" i="1"/>
  <c r="C858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8" i="1"/>
  <c r="C889" i="1"/>
  <c r="C890" i="1"/>
  <c r="C891" i="1"/>
  <c r="C892" i="1"/>
  <c r="C893" i="1"/>
  <c r="C894" i="1"/>
  <c r="C895" i="1"/>
  <c r="C896" i="1"/>
  <c r="C898" i="1"/>
  <c r="C900" i="1"/>
  <c r="C901" i="1"/>
  <c r="C902" i="1"/>
  <c r="C903" i="1"/>
  <c r="C904" i="1"/>
  <c r="C905" i="1"/>
  <c r="C906" i="1"/>
  <c r="C907" i="1"/>
  <c r="C908" i="1"/>
  <c r="C909" i="1"/>
  <c r="C911" i="1"/>
  <c r="C912" i="1"/>
  <c r="C913" i="1"/>
  <c r="C914" i="1"/>
  <c r="C915" i="1"/>
  <c r="C916" i="1"/>
  <c r="C918" i="1"/>
  <c r="C919" i="1"/>
  <c r="C920" i="1"/>
  <c r="C921" i="1"/>
  <c r="C922" i="1"/>
  <c r="C923" i="1"/>
  <c r="C926" i="1"/>
  <c r="C927" i="1"/>
  <c r="C928" i="1"/>
  <c r="C929" i="1"/>
  <c r="C930" i="1"/>
  <c r="C931" i="1"/>
  <c r="C932" i="1"/>
  <c r="C934" i="1"/>
  <c r="C935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7" i="1"/>
  <c r="C968" i="1"/>
  <c r="C970" i="1"/>
  <c r="C971" i="1"/>
  <c r="C972" i="1"/>
  <c r="C973" i="1"/>
  <c r="C974" i="1"/>
  <c r="C975" i="1"/>
  <c r="R25" i="1"/>
  <c r="R27" i="1"/>
  <c r="R32" i="1"/>
  <c r="R33" i="1"/>
  <c r="R39" i="1"/>
  <c r="R41" i="1"/>
  <c r="R55" i="1"/>
  <c r="R63" i="1"/>
  <c r="R66" i="1"/>
  <c r="R67" i="1"/>
  <c r="R68" i="1"/>
  <c r="R69" i="1"/>
  <c r="R77" i="1"/>
  <c r="R87" i="1"/>
  <c r="R114" i="1"/>
  <c r="R117" i="1"/>
  <c r="R121" i="1"/>
  <c r="R123" i="1"/>
  <c r="R128" i="1"/>
  <c r="R130" i="1"/>
  <c r="R134" i="1"/>
  <c r="R142" i="1"/>
  <c r="R145" i="1"/>
  <c r="R150" i="1"/>
  <c r="R156" i="1"/>
  <c r="R159" i="1"/>
  <c r="R162" i="1"/>
  <c r="R164" i="1"/>
  <c r="R194" i="1"/>
  <c r="R197" i="1"/>
  <c r="R204" i="1"/>
  <c r="R205" i="1"/>
  <c r="R218" i="1"/>
  <c r="R230" i="1"/>
  <c r="R232" i="1"/>
  <c r="R250" i="1"/>
  <c r="R254" i="1"/>
  <c r="R262" i="1"/>
  <c r="R282" i="1"/>
  <c r="R283" i="1"/>
  <c r="R297" i="1"/>
  <c r="R299" i="1"/>
  <c r="R302" i="1"/>
  <c r="R311" i="1"/>
  <c r="R312" i="1"/>
  <c r="R320" i="1"/>
  <c r="R334" i="1"/>
  <c r="R336" i="1"/>
  <c r="R342" i="1"/>
  <c r="R347" i="1"/>
  <c r="R355" i="1"/>
  <c r="R363" i="1"/>
  <c r="R379" i="1"/>
  <c r="R383" i="1"/>
  <c r="R387" i="1"/>
  <c r="R389" i="1"/>
  <c r="R395" i="1"/>
  <c r="R400" i="1"/>
  <c r="R428" i="1"/>
  <c r="R431" i="1"/>
  <c r="R434" i="1"/>
  <c r="R443" i="1"/>
  <c r="R448" i="1"/>
  <c r="R453" i="1"/>
  <c r="R458" i="1"/>
  <c r="R476" i="1"/>
  <c r="R477" i="1"/>
  <c r="R484" i="1"/>
  <c r="R488" i="1"/>
  <c r="R495" i="1"/>
  <c r="R515" i="1"/>
  <c r="R518" i="1"/>
  <c r="R528" i="1"/>
  <c r="R548" i="1"/>
  <c r="R570" i="1"/>
  <c r="R575" i="1"/>
  <c r="R576" i="1"/>
  <c r="R595" i="1"/>
  <c r="R597" i="1"/>
  <c r="R621" i="1"/>
  <c r="R623" i="1"/>
  <c r="R631" i="1"/>
  <c r="R632" i="1"/>
  <c r="R634" i="1"/>
  <c r="R635" i="1"/>
  <c r="R650" i="1"/>
  <c r="R666" i="1"/>
  <c r="R667" i="1"/>
  <c r="R670" i="1"/>
  <c r="R673" i="1"/>
  <c r="R687" i="1"/>
  <c r="R692" i="1"/>
  <c r="R699" i="1"/>
  <c r="R703" i="1"/>
  <c r="R708" i="1"/>
  <c r="R716" i="1"/>
  <c r="R720" i="1"/>
  <c r="R721" i="1"/>
  <c r="R735" i="1"/>
  <c r="R736" i="1"/>
  <c r="R741" i="1"/>
  <c r="R758" i="1"/>
  <c r="R762" i="1"/>
  <c r="R763" i="1"/>
  <c r="R764" i="1"/>
  <c r="R766" i="1"/>
  <c r="R773" i="1"/>
  <c r="R780" i="1"/>
  <c r="R787" i="1"/>
  <c r="R791" i="1"/>
  <c r="R808" i="1"/>
  <c r="R817" i="1"/>
  <c r="R823" i="1"/>
  <c r="R836" i="1"/>
  <c r="R838" i="1"/>
  <c r="R840" i="1"/>
  <c r="R850" i="1"/>
  <c r="R851" i="1"/>
  <c r="R856" i="1"/>
  <c r="R857" i="1"/>
  <c r="R860" i="1"/>
  <c r="R863" i="1"/>
  <c r="R864" i="1"/>
  <c r="R880" i="1"/>
  <c r="R881" i="1"/>
  <c r="R889" i="1"/>
  <c r="R892" i="1"/>
  <c r="R893" i="1"/>
  <c r="R895" i="1"/>
  <c r="R903" i="1"/>
  <c r="R912" i="1"/>
  <c r="R913" i="1"/>
  <c r="R919" i="1"/>
  <c r="R921" i="1"/>
  <c r="R924" i="1"/>
  <c r="R930" i="1"/>
  <c r="R934" i="1"/>
  <c r="R939" i="1"/>
  <c r="R943" i="1"/>
  <c r="R950" i="1"/>
  <c r="R964" i="1"/>
  <c r="R974" i="1"/>
  <c r="I144" i="1"/>
  <c r="H3" i="1"/>
  <c r="H4" i="1"/>
  <c r="H5" i="1"/>
  <c r="H6" i="1"/>
  <c r="H7" i="1"/>
  <c r="H9" i="1"/>
  <c r="H10" i="1"/>
  <c r="H11" i="1"/>
  <c r="H12" i="1"/>
  <c r="H15" i="1"/>
  <c r="H18" i="1"/>
  <c r="H19" i="1"/>
  <c r="H20" i="1"/>
  <c r="H22" i="1"/>
  <c r="H23" i="1"/>
  <c r="H26" i="1"/>
  <c r="H27" i="1"/>
  <c r="H29" i="1"/>
  <c r="H31" i="1"/>
  <c r="H32" i="1"/>
  <c r="H33" i="1"/>
  <c r="H34" i="1"/>
  <c r="H36" i="1"/>
  <c r="H37" i="1"/>
  <c r="H40" i="1"/>
  <c r="H42" i="1"/>
  <c r="H46" i="1"/>
  <c r="H47" i="1"/>
  <c r="H48" i="1"/>
  <c r="H49" i="1"/>
  <c r="H50" i="1"/>
  <c r="H51" i="1"/>
  <c r="H53" i="1"/>
  <c r="H56" i="1"/>
  <c r="H57" i="1"/>
  <c r="H60" i="1"/>
  <c r="H63" i="1"/>
  <c r="H65" i="1"/>
  <c r="H66" i="1"/>
  <c r="H68" i="1"/>
  <c r="H70" i="1"/>
  <c r="H71" i="1"/>
  <c r="H72" i="1"/>
  <c r="H73" i="1"/>
  <c r="H74" i="1"/>
  <c r="H80" i="1"/>
  <c r="H81" i="1"/>
  <c r="H82" i="1"/>
  <c r="H83" i="1"/>
  <c r="H84" i="1"/>
  <c r="H85" i="1"/>
  <c r="H86" i="1"/>
  <c r="H87" i="1"/>
  <c r="H89" i="1"/>
  <c r="H90" i="1"/>
  <c r="H91" i="1"/>
  <c r="H92" i="1"/>
  <c r="H93" i="1"/>
  <c r="H94" i="1"/>
  <c r="H97" i="1"/>
  <c r="H98" i="1"/>
  <c r="H99" i="1"/>
  <c r="H100" i="1"/>
  <c r="H103" i="1"/>
  <c r="H104" i="1"/>
  <c r="H105" i="1"/>
  <c r="H106" i="1"/>
  <c r="H107" i="1"/>
  <c r="H108" i="1"/>
  <c r="H110" i="1"/>
  <c r="H114" i="1"/>
  <c r="H115" i="1"/>
  <c r="H117" i="1"/>
  <c r="H120" i="1"/>
  <c r="H121" i="1"/>
  <c r="H123" i="1"/>
  <c r="H124" i="1"/>
  <c r="H128" i="1"/>
  <c r="H129" i="1"/>
  <c r="H131" i="1"/>
  <c r="H132" i="1"/>
  <c r="H135" i="1"/>
  <c r="H137" i="1"/>
  <c r="H138" i="1"/>
  <c r="H139" i="1"/>
  <c r="H140" i="1"/>
  <c r="H143" i="1"/>
  <c r="H144" i="1"/>
  <c r="H145" i="1"/>
  <c r="H146" i="1"/>
  <c r="H147" i="1"/>
  <c r="H148" i="1"/>
  <c r="H149" i="1"/>
  <c r="H150" i="1"/>
  <c r="H151" i="1"/>
  <c r="H152" i="1"/>
  <c r="H153" i="1"/>
  <c r="H156" i="1"/>
  <c r="H159" i="1"/>
  <c r="H160" i="1"/>
  <c r="H161" i="1"/>
  <c r="H167" i="1"/>
  <c r="H168" i="1"/>
  <c r="H170" i="1"/>
  <c r="H171" i="1"/>
  <c r="H172" i="1"/>
  <c r="H173" i="1"/>
  <c r="H174" i="1"/>
  <c r="H176" i="1"/>
  <c r="H177" i="1"/>
  <c r="H182" i="1"/>
  <c r="H183" i="1"/>
  <c r="H185" i="1"/>
  <c r="H186" i="1"/>
  <c r="H187" i="1"/>
  <c r="H189" i="1"/>
  <c r="H190" i="1"/>
  <c r="H193" i="1"/>
  <c r="H195" i="1"/>
  <c r="H196" i="1"/>
  <c r="H197" i="1"/>
  <c r="H199" i="1"/>
  <c r="H200" i="1"/>
  <c r="H201" i="1"/>
  <c r="H202" i="1"/>
  <c r="H205" i="1"/>
  <c r="H206" i="1"/>
  <c r="H207" i="1"/>
  <c r="H208" i="1"/>
  <c r="H210" i="1"/>
  <c r="H211" i="1"/>
  <c r="H214" i="1"/>
  <c r="H215" i="1"/>
  <c r="H217" i="1"/>
  <c r="H218" i="1"/>
  <c r="H221" i="1"/>
  <c r="H222" i="1"/>
  <c r="H223" i="1"/>
  <c r="H225" i="1"/>
  <c r="H227" i="1"/>
  <c r="H228" i="1"/>
  <c r="H229" i="1"/>
  <c r="H230" i="1"/>
  <c r="H231" i="1"/>
  <c r="H232" i="1"/>
  <c r="H233" i="1"/>
  <c r="H234" i="1"/>
  <c r="H236" i="1"/>
  <c r="H237" i="1"/>
  <c r="H238" i="1"/>
  <c r="H239" i="1"/>
  <c r="H240" i="1"/>
  <c r="H248" i="1"/>
  <c r="H249" i="1"/>
  <c r="H253" i="1"/>
  <c r="H256" i="1"/>
  <c r="H257" i="1"/>
  <c r="H258" i="1"/>
  <c r="H262" i="1"/>
  <c r="H264" i="1"/>
  <c r="H265" i="1"/>
  <c r="H266" i="1"/>
  <c r="H267" i="1"/>
  <c r="H269" i="1"/>
  <c r="H273" i="1"/>
  <c r="H275" i="1"/>
  <c r="H279" i="1"/>
  <c r="H280" i="1"/>
  <c r="H281" i="1"/>
  <c r="H283" i="1"/>
  <c r="H284" i="1"/>
  <c r="H285" i="1"/>
  <c r="H290" i="1"/>
  <c r="H291" i="1"/>
  <c r="H293" i="1"/>
  <c r="H294" i="1"/>
  <c r="H295" i="1"/>
  <c r="H296" i="1"/>
  <c r="H297" i="1"/>
  <c r="H298" i="1"/>
  <c r="H299" i="1"/>
  <c r="H300" i="1"/>
  <c r="H304" i="1"/>
  <c r="H305" i="1"/>
  <c r="H306" i="1"/>
  <c r="H307" i="1"/>
  <c r="H308" i="1"/>
  <c r="H309" i="1"/>
  <c r="H311" i="1"/>
  <c r="H312" i="1"/>
  <c r="H313" i="1"/>
  <c r="H315" i="1"/>
  <c r="H316" i="1"/>
  <c r="H319" i="1"/>
  <c r="H320" i="1"/>
  <c r="H321" i="1"/>
  <c r="H324" i="1"/>
  <c r="H325" i="1"/>
  <c r="H326" i="1"/>
  <c r="H327" i="1"/>
  <c r="H328" i="1"/>
  <c r="H329" i="1"/>
  <c r="H330" i="1"/>
  <c r="H335" i="1"/>
  <c r="H337" i="1"/>
  <c r="H339" i="1"/>
  <c r="H340" i="1"/>
  <c r="H341" i="1"/>
  <c r="H345" i="1"/>
  <c r="H347" i="1"/>
  <c r="H348" i="1"/>
  <c r="H349" i="1"/>
  <c r="H350" i="1"/>
  <c r="H351" i="1"/>
  <c r="H352" i="1"/>
  <c r="H354" i="1"/>
  <c r="H355" i="1"/>
  <c r="H358" i="1"/>
  <c r="H359" i="1"/>
  <c r="H362" i="1"/>
  <c r="H363" i="1"/>
  <c r="H365" i="1"/>
  <c r="H366" i="1"/>
  <c r="H371" i="1"/>
  <c r="H372" i="1"/>
  <c r="H373" i="1"/>
  <c r="H376" i="1"/>
  <c r="H378" i="1"/>
  <c r="H379" i="1"/>
  <c r="H380" i="1"/>
  <c r="H381" i="1"/>
  <c r="H382" i="1"/>
  <c r="H384" i="1"/>
  <c r="H385" i="1"/>
  <c r="H386" i="1"/>
  <c r="H387" i="1"/>
  <c r="H388" i="1"/>
  <c r="H389" i="1"/>
  <c r="H390" i="1"/>
  <c r="H393" i="1"/>
  <c r="H394" i="1"/>
  <c r="H395" i="1"/>
  <c r="H396" i="1"/>
  <c r="H397" i="1"/>
  <c r="H399" i="1"/>
  <c r="H401" i="1"/>
  <c r="H403" i="1"/>
  <c r="H404" i="1"/>
  <c r="H405" i="1"/>
  <c r="H406" i="1"/>
  <c r="H407" i="1"/>
  <c r="H409" i="1"/>
  <c r="H410" i="1"/>
  <c r="H411" i="1"/>
  <c r="H413" i="1"/>
  <c r="H414" i="1"/>
  <c r="H417" i="1"/>
  <c r="H420" i="1"/>
  <c r="H421" i="1"/>
  <c r="H423" i="1"/>
  <c r="H425" i="1"/>
  <c r="H428" i="1"/>
  <c r="H432" i="1"/>
  <c r="H433" i="1"/>
  <c r="H434" i="1"/>
  <c r="H435" i="1"/>
  <c r="H436" i="1"/>
  <c r="H438" i="1"/>
  <c r="H440" i="1"/>
  <c r="H441" i="1"/>
  <c r="H442" i="1"/>
  <c r="H443" i="1"/>
  <c r="H444" i="1"/>
  <c r="H445" i="1"/>
  <c r="H446" i="1"/>
  <c r="H447" i="1"/>
  <c r="H451" i="1"/>
  <c r="H452" i="1"/>
  <c r="H454" i="1"/>
  <c r="H455" i="1"/>
  <c r="H456" i="1"/>
  <c r="H457" i="1"/>
  <c r="H458" i="1"/>
  <c r="H459" i="1"/>
  <c r="H460" i="1"/>
  <c r="H463" i="1"/>
  <c r="H464" i="1"/>
  <c r="H467" i="1"/>
  <c r="H468" i="1"/>
  <c r="H470" i="1"/>
  <c r="H471" i="1"/>
  <c r="H472" i="1"/>
  <c r="H473" i="1"/>
  <c r="H475" i="1"/>
  <c r="H476" i="1"/>
  <c r="H477" i="1"/>
  <c r="H478" i="1"/>
  <c r="H486" i="1"/>
  <c r="H487" i="1"/>
  <c r="H488" i="1"/>
  <c r="H490" i="1"/>
  <c r="H492" i="1"/>
  <c r="H493" i="1"/>
  <c r="H496" i="1"/>
  <c r="H500" i="1"/>
  <c r="H501" i="1"/>
  <c r="H503" i="1"/>
  <c r="H504" i="1"/>
  <c r="H505" i="1"/>
  <c r="H507" i="1"/>
  <c r="H508" i="1"/>
  <c r="H509" i="1"/>
  <c r="H513" i="1"/>
  <c r="H514" i="1"/>
  <c r="H515" i="1"/>
  <c r="H517" i="1"/>
  <c r="H522" i="1"/>
  <c r="H524" i="1"/>
  <c r="H525" i="1"/>
  <c r="H526" i="1"/>
  <c r="H527" i="1"/>
  <c r="H528" i="1"/>
  <c r="H530" i="1"/>
  <c r="H532" i="1"/>
  <c r="H535" i="1"/>
  <c r="H537" i="1"/>
  <c r="H540" i="1"/>
  <c r="H541" i="1"/>
  <c r="H542" i="1"/>
  <c r="H543" i="1"/>
  <c r="H544" i="1"/>
  <c r="H545" i="1"/>
  <c r="H546" i="1"/>
  <c r="H552" i="1"/>
  <c r="H555" i="1"/>
  <c r="H561" i="1"/>
  <c r="H562" i="1"/>
  <c r="H565" i="1"/>
  <c r="H571" i="1"/>
  <c r="H572" i="1"/>
  <c r="H573" i="1"/>
  <c r="H574" i="1"/>
  <c r="H575" i="1"/>
  <c r="H576" i="1"/>
  <c r="H577" i="1"/>
  <c r="H578" i="1"/>
  <c r="H579" i="1"/>
  <c r="H580" i="1"/>
  <c r="H582" i="1"/>
  <c r="H584" i="1"/>
  <c r="H586" i="1"/>
  <c r="H587" i="1"/>
  <c r="H591" i="1"/>
  <c r="H594" i="1"/>
  <c r="H595" i="1"/>
  <c r="H596" i="1"/>
  <c r="H597" i="1"/>
  <c r="H598" i="1"/>
  <c r="H599" i="1"/>
  <c r="H600" i="1"/>
  <c r="H602" i="1"/>
  <c r="H603" i="1"/>
  <c r="H604" i="1"/>
  <c r="H605" i="1"/>
  <c r="H608" i="1"/>
  <c r="H609" i="1"/>
  <c r="H610" i="1"/>
  <c r="H611" i="1"/>
  <c r="H612" i="1"/>
  <c r="H613" i="1"/>
  <c r="H618" i="1"/>
  <c r="H622" i="1"/>
  <c r="H625" i="1"/>
  <c r="H628" i="1"/>
  <c r="H629" i="1"/>
  <c r="H633" i="1"/>
  <c r="H634" i="1"/>
  <c r="H635" i="1"/>
  <c r="H636" i="1"/>
  <c r="H637" i="1"/>
  <c r="H639" i="1"/>
  <c r="H640" i="1"/>
  <c r="H642" i="1"/>
  <c r="H644" i="1"/>
  <c r="H645" i="1"/>
  <c r="H646" i="1"/>
  <c r="H647" i="1"/>
  <c r="H648" i="1"/>
  <c r="H649" i="1"/>
  <c r="H651" i="1"/>
  <c r="H653" i="1"/>
  <c r="H654" i="1"/>
  <c r="H655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72" i="1"/>
  <c r="H673" i="1"/>
  <c r="H674" i="1"/>
  <c r="H677" i="1"/>
  <c r="H679" i="1"/>
  <c r="H680" i="1"/>
  <c r="H682" i="1"/>
  <c r="H684" i="1"/>
  <c r="H686" i="1"/>
  <c r="H687" i="1"/>
  <c r="H688" i="1"/>
  <c r="H689" i="1"/>
  <c r="H692" i="1"/>
  <c r="H693" i="1"/>
  <c r="H694" i="1"/>
  <c r="H695" i="1"/>
  <c r="H699" i="1"/>
  <c r="H700" i="1"/>
  <c r="H701" i="1"/>
  <c r="H702" i="1"/>
  <c r="H705" i="1"/>
  <c r="H706" i="1"/>
  <c r="H708" i="1"/>
  <c r="H712" i="1"/>
  <c r="H713" i="1"/>
  <c r="H715" i="1"/>
  <c r="H717" i="1"/>
  <c r="H718" i="1"/>
  <c r="H719" i="1"/>
  <c r="H720" i="1"/>
  <c r="H723" i="1"/>
  <c r="H725" i="1"/>
  <c r="H726" i="1"/>
  <c r="H727" i="1"/>
  <c r="H728" i="1"/>
  <c r="H729" i="1"/>
  <c r="H732" i="1"/>
  <c r="H734" i="1"/>
  <c r="H736" i="1"/>
  <c r="H738" i="1"/>
  <c r="H741" i="1"/>
  <c r="H743" i="1"/>
  <c r="H745" i="1"/>
  <c r="H748" i="1"/>
  <c r="H751" i="1"/>
  <c r="H752" i="1"/>
  <c r="H753" i="1"/>
  <c r="H754" i="1"/>
  <c r="H755" i="1"/>
  <c r="H756" i="1"/>
  <c r="H758" i="1"/>
  <c r="H759" i="1"/>
  <c r="H760" i="1"/>
  <c r="H761" i="1"/>
  <c r="H762" i="1"/>
  <c r="H763" i="1"/>
  <c r="H765" i="1"/>
  <c r="H766" i="1"/>
  <c r="H767" i="1"/>
  <c r="H769" i="1"/>
  <c r="H771" i="1"/>
  <c r="H772" i="1"/>
  <c r="H773" i="1"/>
  <c r="H774" i="1"/>
  <c r="H776" i="1"/>
  <c r="H777" i="1"/>
  <c r="H778" i="1"/>
  <c r="H779" i="1"/>
  <c r="H780" i="1"/>
  <c r="H782" i="1"/>
  <c r="H785" i="1"/>
  <c r="H789" i="1"/>
  <c r="H791" i="1"/>
  <c r="H792" i="1"/>
  <c r="H793" i="1"/>
  <c r="H794" i="1"/>
  <c r="H795" i="1"/>
  <c r="H797" i="1"/>
  <c r="H798" i="1"/>
  <c r="H801" i="1"/>
  <c r="H803" i="1"/>
  <c r="H805" i="1"/>
  <c r="H806" i="1"/>
  <c r="H807" i="1"/>
  <c r="H808" i="1"/>
  <c r="H809" i="1"/>
  <c r="H811" i="1"/>
  <c r="H812" i="1"/>
  <c r="H813" i="1"/>
  <c r="H815" i="1"/>
  <c r="H818" i="1"/>
  <c r="H819" i="1"/>
  <c r="H820" i="1"/>
  <c r="H821" i="1"/>
  <c r="H822" i="1"/>
  <c r="H823" i="1"/>
  <c r="H824" i="1"/>
  <c r="H825" i="1"/>
  <c r="H828" i="1"/>
  <c r="H832" i="1"/>
  <c r="H833" i="1"/>
  <c r="H834" i="1"/>
  <c r="H835" i="1"/>
  <c r="H836" i="1"/>
  <c r="H842" i="1"/>
  <c r="H843" i="1"/>
  <c r="H844" i="1"/>
  <c r="H849" i="1"/>
  <c r="H850" i="1"/>
  <c r="H851" i="1"/>
  <c r="H852" i="1"/>
  <c r="H854" i="1"/>
  <c r="H855" i="1"/>
  <c r="H856" i="1"/>
  <c r="H857" i="1"/>
  <c r="H859" i="1"/>
  <c r="H861" i="1"/>
  <c r="H862" i="1"/>
  <c r="H863" i="1"/>
  <c r="H865" i="1"/>
  <c r="H868" i="1"/>
  <c r="H869" i="1"/>
  <c r="H871" i="1"/>
  <c r="H872" i="1"/>
  <c r="H873" i="1"/>
  <c r="H874" i="1"/>
  <c r="H875" i="1"/>
  <c r="H876" i="1"/>
  <c r="H878" i="1"/>
  <c r="H882" i="1"/>
  <c r="H883" i="1"/>
  <c r="H885" i="1"/>
  <c r="H890" i="1"/>
  <c r="H891" i="1"/>
  <c r="H895" i="1"/>
  <c r="H896" i="1"/>
  <c r="H897" i="1"/>
  <c r="H898" i="1"/>
  <c r="H899" i="1"/>
  <c r="H900" i="1"/>
  <c r="H901" i="1"/>
  <c r="H902" i="1"/>
  <c r="H905" i="1"/>
  <c r="H906" i="1"/>
  <c r="H909" i="1"/>
  <c r="H910" i="1"/>
  <c r="H913" i="1"/>
  <c r="H915" i="1"/>
  <c r="H917" i="1"/>
  <c r="H919" i="1"/>
  <c r="H921" i="1"/>
  <c r="H922" i="1"/>
  <c r="H924" i="1"/>
  <c r="H925" i="1"/>
  <c r="H926" i="1"/>
  <c r="H927" i="1"/>
  <c r="H928" i="1"/>
  <c r="H931" i="1"/>
  <c r="H932" i="1"/>
  <c r="H933" i="1"/>
  <c r="H935" i="1"/>
  <c r="H936" i="1"/>
  <c r="H937" i="1"/>
  <c r="H939" i="1"/>
  <c r="H940" i="1"/>
  <c r="H941" i="1"/>
  <c r="H942" i="1"/>
  <c r="H944" i="1"/>
  <c r="H946" i="1"/>
  <c r="H951" i="1"/>
  <c r="H952" i="1"/>
  <c r="H956" i="1"/>
  <c r="H957" i="1"/>
  <c r="H959" i="1"/>
  <c r="H960" i="1"/>
  <c r="H963" i="1"/>
  <c r="H964" i="1"/>
  <c r="H965" i="1"/>
  <c r="H966" i="1"/>
  <c r="H967" i="1"/>
  <c r="H968" i="1"/>
  <c r="H971" i="1"/>
  <c r="H97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5" i="1"/>
  <c r="G396" i="1"/>
  <c r="G397" i="1"/>
  <c r="G399" i="1"/>
  <c r="G400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2" i="1"/>
  <c r="G843" i="1"/>
  <c r="G844" i="1"/>
  <c r="G845" i="1"/>
  <c r="G846" i="1"/>
  <c r="G847" i="1"/>
  <c r="G848" i="1"/>
  <c r="G849" i="1"/>
  <c r="G851" i="1"/>
  <c r="G852" i="1"/>
  <c r="G853" i="1"/>
  <c r="G855" i="1"/>
  <c r="G856" i="1"/>
  <c r="G857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</calcChain>
</file>

<file path=xl/sharedStrings.xml><?xml version="1.0" encoding="utf-8"?>
<sst xmlns="http://schemas.openxmlformats.org/spreadsheetml/2006/main" count="13088" uniqueCount="3719">
  <si>
    <t>Id</t>
  </si>
  <si>
    <t>PREFIX</t>
  </si>
  <si>
    <t>FIRST</t>
  </si>
  <si>
    <t>LAST</t>
  </si>
  <si>
    <t>SUFFIX</t>
  </si>
  <si>
    <t>MAIDEN</t>
  </si>
  <si>
    <t>MARITAL</t>
  </si>
  <si>
    <t>RACE</t>
  </si>
  <si>
    <t>ETHNICITY</t>
  </si>
  <si>
    <t>GENDER</t>
  </si>
  <si>
    <t>ADDRESS</t>
  </si>
  <si>
    <t>CITY</t>
  </si>
  <si>
    <t>STATE</t>
  </si>
  <si>
    <t>COUNTY</t>
  </si>
  <si>
    <t>ZIP</t>
  </si>
  <si>
    <t>LAT</t>
  </si>
  <si>
    <t>LON</t>
  </si>
  <si>
    <t>5605b66b-e92d-c16c-1b83-b8bf7040d51f</t>
  </si>
  <si>
    <t>Mrs.</t>
  </si>
  <si>
    <t>Nikita578</t>
  </si>
  <si>
    <t>Erdman779</t>
  </si>
  <si>
    <t>Leannon79</t>
  </si>
  <si>
    <t>M</t>
  </si>
  <si>
    <t>F</t>
  </si>
  <si>
    <t>510 Little Station Unit 69</t>
  </si>
  <si>
    <t>Quincy</t>
  </si>
  <si>
    <t>Massachusetts</t>
  </si>
  <si>
    <t>Norfolk County</t>
  </si>
  <si>
    <t>6e5ae27c-8038-7988-e2c0-25a103f01bfa</t>
  </si>
  <si>
    <t>Mr.</t>
  </si>
  <si>
    <t>Zane918</t>
  </si>
  <si>
    <t>Hodkiewicz467</t>
  </si>
  <si>
    <t>747 Conn Throughway</t>
  </si>
  <si>
    <t>Boston</t>
  </si>
  <si>
    <t>Suffolk County</t>
  </si>
  <si>
    <t>8123d076-0886-9007-e956-d5864aa121a7</t>
  </si>
  <si>
    <t>Quinn173</t>
  </si>
  <si>
    <t>Marquardt819</t>
  </si>
  <si>
    <t>816 Okuneva Extension Apt 91</t>
  </si>
  <si>
    <t>770518e4-6133-648e-60c9-071eb2f0e2ce</t>
  </si>
  <si>
    <t>Abel832</t>
  </si>
  <si>
    <t>Smitham825</t>
  </si>
  <si>
    <t>127 Cole Way Unit 95</t>
  </si>
  <si>
    <t>f96addf5-81b9-0aab-7855-d208d3d352c5</t>
  </si>
  <si>
    <t>Edwin773</t>
  </si>
  <si>
    <t>Labadie908</t>
  </si>
  <si>
    <t>976 Ziemann Gateway</t>
  </si>
  <si>
    <t>8e9650d1-788a-78f9-4a28-d08f7f95354a</t>
  </si>
  <si>
    <t>Frankie174</t>
  </si>
  <si>
    <t>Oberbrunner298</t>
  </si>
  <si>
    <t>303 Bechtelar Bypass Suite 26</t>
  </si>
  <si>
    <t>183df435-4190-060e-8f8e-bf63c572b266</t>
  </si>
  <si>
    <t>Eilene124</t>
  </si>
  <si>
    <t>Walsh511</t>
  </si>
  <si>
    <t>Wiegand701</t>
  </si>
  <si>
    <t>235 Lang Parade</t>
  </si>
  <si>
    <t>Cambridge</t>
  </si>
  <si>
    <t>Middlesex County</t>
  </si>
  <si>
    <t>720560d4-51da-c38c-ee90-c15935278df1</t>
  </si>
  <si>
    <t>Lowell343</t>
  </si>
  <si>
    <t>Price929</t>
  </si>
  <si>
    <t>694 Kuhlman Corner Apt 74</t>
  </si>
  <si>
    <t>217851b0-5f47-d376-18b9-0fe4ba77207e</t>
  </si>
  <si>
    <t>Adrian111</t>
  </si>
  <si>
    <t>Gleason633</t>
  </si>
  <si>
    <t>S</t>
  </si>
  <si>
    <t>808 Gottlieb Wall</t>
  </si>
  <si>
    <t>ff331e5c-ab16-e218-f39a-63e11de1ed75</t>
  </si>
  <si>
    <t>Eugene421</t>
  </si>
  <si>
    <t>Abernathy524</t>
  </si>
  <si>
    <t>706 Connelly Track Unit 1</t>
  </si>
  <si>
    <t>affa7bf1-f4fc-d3f7-747c-db8f32d105cf</t>
  </si>
  <si>
    <t>Jay242</t>
  </si>
  <si>
    <t>Wisozk929</t>
  </si>
  <si>
    <t>471 Borer Estate</t>
  </si>
  <si>
    <t>becb15c3-a135-8fb2-ea09-583043922a3a</t>
  </si>
  <si>
    <t>Stephanie963</t>
  </si>
  <si>
    <t>Douglas31</t>
  </si>
  <si>
    <t>Predovic534</t>
  </si>
  <si>
    <t>345 Carter Hollow</t>
  </si>
  <si>
    <t>a8ceba15-ef47-da92-253d-185853ff6c34</t>
  </si>
  <si>
    <t>Helene803</t>
  </si>
  <si>
    <t>Kilback373</t>
  </si>
  <si>
    <t>Walker122</t>
  </si>
  <si>
    <t>0e02b297-527d-b5ea-30e5-690c82541243</t>
  </si>
  <si>
    <t>Maria750</t>
  </si>
  <si>
    <t>Waelchi213</t>
  </si>
  <si>
    <t>584 Cormier Lodge Suite 70</t>
  </si>
  <si>
    <t>Somerville</t>
  </si>
  <si>
    <t>f2203fd5-1a2c-60cd-cae0-1416658880b6</t>
  </si>
  <si>
    <t>Edra310</t>
  </si>
  <si>
    <t>Wehner319</t>
  </si>
  <si>
    <t>Upton904</t>
  </si>
  <si>
    <t>538 Hilpert Estate Apt 80</t>
  </si>
  <si>
    <t>4d55540d-c43d-e6e8-5364-ec2509df31e3</t>
  </si>
  <si>
    <t>Mickie472</t>
  </si>
  <si>
    <t>Champlin946</t>
  </si>
  <si>
    <t>Hermann103</t>
  </si>
  <si>
    <t>1092 Schoen Grove Unit 66</t>
  </si>
  <si>
    <t>07e7f8a0-1bfd-3af8-2bd0-29f1dbe9633c</t>
  </si>
  <si>
    <t>Ms.</t>
  </si>
  <si>
    <t>Norah104</t>
  </si>
  <si>
    <t>Feeney44</t>
  </si>
  <si>
    <t>865 Pollich Rest</t>
  </si>
  <si>
    <t>6746a7c0-1335-90e8-5006-04378f138f46</t>
  </si>
  <si>
    <t>Edgardo196</t>
  </si>
  <si>
    <t>Okuneva707</t>
  </si>
  <si>
    <t>947 Eichmann Boulevard</t>
  </si>
  <si>
    <t>Revere</t>
  </si>
  <si>
    <t>733678d5-4ba7-d464-4eda-b849e137a42c</t>
  </si>
  <si>
    <t>Allen322</t>
  </si>
  <si>
    <t>Schumm995</t>
  </si>
  <si>
    <t>425 Lang Boulevard</t>
  </si>
  <si>
    <t>5bd6c434-6f51-6e53-4d0f-8d3889f377da</t>
  </si>
  <si>
    <t>Celia938</t>
  </si>
  <si>
    <t>Carter549</t>
  </si>
  <si>
    <t>Crona259</t>
  </si>
  <si>
    <t>773 Weissnat Route Unit 6</t>
  </si>
  <si>
    <t>e019d0db-35d0-9bee-c8d9-76036a7f618a</t>
  </si>
  <si>
    <t>Ninfa662</t>
  </si>
  <si>
    <t>Parker433</t>
  </si>
  <si>
    <t>643 Spinka Rue</t>
  </si>
  <si>
    <t>c249fd8d-38fa-e836-dc53-f04364e988e9</t>
  </si>
  <si>
    <t>Paris331</t>
  </si>
  <si>
    <t>Welch179</t>
  </si>
  <si>
    <t>616 Beatty Path Unit 3</t>
  </si>
  <si>
    <t>19fa4e8b-62d9-0c8e-a046-33976641084b</t>
  </si>
  <si>
    <t>Sheba703</t>
  </si>
  <si>
    <t>Miller503</t>
  </si>
  <si>
    <t>Legros616</t>
  </si>
  <si>
    <t>838 Mayer Branch Unit 53</t>
  </si>
  <si>
    <t>9a942ecb-92a7-4bd2-444c-f99ceebe25d0</t>
  </si>
  <si>
    <t>Keisha459</t>
  </si>
  <si>
    <t>Wolf938</t>
  </si>
  <si>
    <t>Greenholt190</t>
  </si>
  <si>
    <t>637 Ward Road Suite 42</t>
  </si>
  <si>
    <t>Cohasset</t>
  </si>
  <si>
    <t>f06ef2bf-a35c-b6d6-44db-149397b5bd26</t>
  </si>
  <si>
    <t>Forrest301</t>
  </si>
  <si>
    <t>Lubowitz58</t>
  </si>
  <si>
    <t>372 Price Common Suite 2</t>
  </si>
  <si>
    <t>2aa3ac2a-88c6-3253-547d-6d8ed69790a3</t>
  </si>
  <si>
    <t>Williams176</t>
  </si>
  <si>
    <t>Harris789</t>
  </si>
  <si>
    <t>387 Sporer Club</t>
  </si>
  <si>
    <t>Everett</t>
  </si>
  <si>
    <t>6e34dcee-3c9e-8d2c-fe3e-6280c888fc9f</t>
  </si>
  <si>
    <t>Kathern391</t>
  </si>
  <si>
    <t>Bernhard322</t>
  </si>
  <si>
    <t>Metz686</t>
  </si>
  <si>
    <t>604 Considine Underpass Apt 94</t>
  </si>
  <si>
    <t>d9022f6b-bae7-3d48-2f27-a3a8ad65f328</t>
  </si>
  <si>
    <t>Dallas143</t>
  </si>
  <si>
    <t>600 Kub Estate Suite 45</t>
  </si>
  <si>
    <t>bff05694-377c-4ee3-63af-131a07997d94</t>
  </si>
  <si>
    <t>Josette398</t>
  </si>
  <si>
    <t>Hermiston71</t>
  </si>
  <si>
    <t>Pfeffer420</t>
  </si>
  <si>
    <t>1008 Williamson Track</t>
  </si>
  <si>
    <t>e3a022ff-f2e0-87b2-a704-68ee3a715c17</t>
  </si>
  <si>
    <t>Orville751</t>
  </si>
  <si>
    <t>Corwin846</t>
  </si>
  <si>
    <t>735 Ratke Station Suite 14</t>
  </si>
  <si>
    <t>d5e6d112-f9ef-173b-fe14-e42b480f82c1</t>
  </si>
  <si>
    <t>Napoleon578</t>
  </si>
  <si>
    <t>Wyman904</t>
  </si>
  <si>
    <t>921 Bins Course</t>
  </si>
  <si>
    <t>Melrose</t>
  </si>
  <si>
    <t>b6633ebf-174a-d0ed-d917-d8289127b1be</t>
  </si>
  <si>
    <t>Quentin28</t>
  </si>
  <si>
    <t>Schmidt332</t>
  </si>
  <si>
    <t>562 Feil Promenade Suite 27</t>
  </si>
  <si>
    <t>Chelsea</t>
  </si>
  <si>
    <t>0fd3c446-4569-9833-c951-0c92c199f07b</t>
  </si>
  <si>
    <t>Ahmed109</t>
  </si>
  <si>
    <t>Kreiger457</t>
  </si>
  <si>
    <t>215 Gibson Viaduct</t>
  </si>
  <si>
    <t>02b80efd-efca-43aa-457c-9115da86f227</t>
  </si>
  <si>
    <t>Raquel318</t>
  </si>
  <si>
    <t>Abeyta738</t>
  </si>
  <si>
    <t>Briones478</t>
  </si>
  <si>
    <t>775 Runte Neck</t>
  </si>
  <si>
    <t>03751d2d-391e-a681-dbf6-4255e9f01e18</t>
  </si>
  <si>
    <t>Les282</t>
  </si>
  <si>
    <t>Stroman228</t>
  </si>
  <si>
    <t>214 Beier Port Unit 78</t>
  </si>
  <si>
    <t>1433001f-a2c3-b2ca-6482-2052272b1f8a</t>
  </si>
  <si>
    <t>Brooke250</t>
  </si>
  <si>
    <t>Romaguera67</t>
  </si>
  <si>
    <t>490 Bins Branch</t>
  </si>
  <si>
    <t>199efcd5-d957-4955-36e0-e365ebccaf8d</t>
  </si>
  <si>
    <t>Tawana222</t>
  </si>
  <si>
    <t>Shanahan202</t>
  </si>
  <si>
    <t>Cole117</t>
  </si>
  <si>
    <t>157 Metz Arcade</t>
  </si>
  <si>
    <t>6948196b-502e-3b25-db84-97da3bfe065e</t>
  </si>
  <si>
    <t>Lesley194</t>
  </si>
  <si>
    <t>Kozey370</t>
  </si>
  <si>
    <t>Kassulke119</t>
  </si>
  <si>
    <t>911 Auer Terrace Unit 19</t>
  </si>
  <si>
    <t>0292e8ad-61bf-0676-db49-fb08c34db695</t>
  </si>
  <si>
    <t>Lorene243</t>
  </si>
  <si>
    <t>Gleichner915</t>
  </si>
  <si>
    <t>332 Feil Stravenue</t>
  </si>
  <si>
    <t>e78af289-da60-41b5-a99c-b79a4a4a4679</t>
  </si>
  <si>
    <t>Maragret485</t>
  </si>
  <si>
    <t>Lang846</t>
  </si>
  <si>
    <t>Armstrong51</t>
  </si>
  <si>
    <t>1009 Keebler Rest</t>
  </si>
  <si>
    <t>Weymouth</t>
  </si>
  <si>
    <t>f29194e5-3f66-388b-f4d4-c9e533beaad8</t>
  </si>
  <si>
    <t>Erik495</t>
  </si>
  <si>
    <t>Swaniawski813</t>
  </si>
  <si>
    <t>257 Flatley Key</t>
  </si>
  <si>
    <t>62f367e5-9661-4871-a6ed-b468c7d1f991</t>
  </si>
  <si>
    <t>Lacresha805</t>
  </si>
  <si>
    <t>Lindgren255</t>
  </si>
  <si>
    <t>Macejkovic424</t>
  </si>
  <si>
    <t>414 Beer Highlands</t>
  </si>
  <si>
    <t>aabf3963-198e-6835-dce9-c1be2764097b</t>
  </si>
  <si>
    <t>Raelene218</t>
  </si>
  <si>
    <t>Collins926</t>
  </si>
  <si>
    <t>Bechtelar572</t>
  </si>
  <si>
    <t>844 Mertz Village</t>
  </si>
  <si>
    <t>3854c2ea-24a8-1aaa-9d17-3a5c09a10a58</t>
  </si>
  <si>
    <t>Vennie613</t>
  </si>
  <si>
    <t>Simonis280</t>
  </si>
  <si>
    <t>773 Kuhlman Forge</t>
  </si>
  <si>
    <t>1bfeb285-817e-4eda-6fbb-609706127115</t>
  </si>
  <si>
    <t>Bradford382</t>
  </si>
  <si>
    <t>Ullrich385</t>
  </si>
  <si>
    <t>983 Batz Overpass Suite 32</t>
  </si>
  <si>
    <t>b7030cea-cd53-4db0-55d0-9b30750f2192</t>
  </si>
  <si>
    <t>Bruce167</t>
  </si>
  <si>
    <t>O'Keefe54</t>
  </si>
  <si>
    <t>170 Balistreri Branch</t>
  </si>
  <si>
    <t>6bb75dff-1c16-69a0-5ce7-8569ffe75327</t>
  </si>
  <si>
    <t>Rudy520</t>
  </si>
  <si>
    <t>Marvin195</t>
  </si>
  <si>
    <t>986 Huels Junction</t>
  </si>
  <si>
    <t>4c845125-220e-960e-03da-9189d4fd70bb</t>
  </si>
  <si>
    <t>Sid118</t>
  </si>
  <si>
    <t>e0867090-d205-d292-5722-05a10eda9be8</t>
  </si>
  <si>
    <t>Demarcus108</t>
  </si>
  <si>
    <t>Ankunding277</t>
  </si>
  <si>
    <t>713 Kuhlman Promenade</t>
  </si>
  <si>
    <t>3531d861-1f85-cdf8-63da-4a5b052410dd</t>
  </si>
  <si>
    <t>Feliciano160</t>
  </si>
  <si>
    <t>7811ad1e-3baf-5d00-6664-01c7396f67c9</t>
  </si>
  <si>
    <t>Danuta945</t>
  </si>
  <si>
    <t>Witting912</t>
  </si>
  <si>
    <t>425 Rath Lane Apt 1</t>
  </si>
  <si>
    <t>187dd60c-abb1-c51d-c8b4-f86c06d4e34d</t>
  </si>
  <si>
    <t>Pedro316</t>
  </si>
  <si>
    <t>Jasso472</t>
  </si>
  <si>
    <t>245 Price Flat Unit 67</t>
  </si>
  <si>
    <t>c7c160d0-9f14-c10b-9767-d42551ab308b</t>
  </si>
  <si>
    <t>Myrtice99</t>
  </si>
  <si>
    <t>Murphy561</t>
  </si>
  <si>
    <t>Quitzon246</t>
  </si>
  <si>
    <t>470 Lynch Crossing</t>
  </si>
  <si>
    <t>96badead-f6a4-2a0b-6fa6-092a83e68c2f</t>
  </si>
  <si>
    <t>China583</t>
  </si>
  <si>
    <t>Klein929</t>
  </si>
  <si>
    <t>Brown30</t>
  </si>
  <si>
    <t>554 Ryan Spur Suite 53</t>
  </si>
  <si>
    <t>0517eef6-a917-9ec3-dea0-cb101e2af480</t>
  </si>
  <si>
    <t>Wilmer32</t>
  </si>
  <si>
    <t>Blanda868</t>
  </si>
  <si>
    <t>266 Moore Well Suite 6</t>
  </si>
  <si>
    <t>6ae160e8-2a4a-b0d7-a3ed-3ce0da6c6843</t>
  </si>
  <si>
    <t>James276</t>
  </si>
  <si>
    <t>Emmerich580</t>
  </si>
  <si>
    <t>643 Krajcik Fort Unit 64</t>
  </si>
  <si>
    <t>Stoneham</t>
  </si>
  <si>
    <t>5f49f1b4-19fd-6f0d-0863-de06544e7364</t>
  </si>
  <si>
    <t>Patrina117</t>
  </si>
  <si>
    <t>Jacobson885</t>
  </si>
  <si>
    <t>Herzog843</t>
  </si>
  <si>
    <t>725 Langosh Green Apt 21</t>
  </si>
  <si>
    <t>df607b64-3d5e-5795-1646-edd2ccf55192</t>
  </si>
  <si>
    <t>Tisha655</t>
  </si>
  <si>
    <t>Yost751</t>
  </si>
  <si>
    <t>437 Price Byway Apt 45</t>
  </si>
  <si>
    <t>8d57a1ad-a587-2cff-3bc9-fa5a58289240</t>
  </si>
  <si>
    <t>Joshua658</t>
  </si>
  <si>
    <t>Baumbach677</t>
  </si>
  <si>
    <t>628 Kub Track Unit 8</t>
  </si>
  <si>
    <t>e6bca1f5-d166-438c-b627-15320eaade3f</t>
  </si>
  <si>
    <t>Berta524</t>
  </si>
  <si>
    <t>Weissnat378</t>
  </si>
  <si>
    <t>Eichmann909</t>
  </si>
  <si>
    <t>326 Kuvalis Center</t>
  </si>
  <si>
    <t>c87b91af-3193-69fb-b167-9fc1c50a05d3</t>
  </si>
  <si>
    <t>Alejandrina481</t>
  </si>
  <si>
    <t>Heathcote539</t>
  </si>
  <si>
    <t>O'Hara248</t>
  </si>
  <si>
    <t>459 Treutel Trafficway</t>
  </si>
  <si>
    <t>ab3fd21f-2823-04a5-a4ce-5311023199e1</t>
  </si>
  <si>
    <t>Kelley882</t>
  </si>
  <si>
    <t>Treutel973</t>
  </si>
  <si>
    <t>477 Schneider Neck</t>
  </si>
  <si>
    <t>e304e5e1-b556-d7ce-b776-eb6cea1e5143</t>
  </si>
  <si>
    <t>Nan75</t>
  </si>
  <si>
    <t>Daniel959</t>
  </si>
  <si>
    <t>Flatley871</t>
  </si>
  <si>
    <t>740 Volkman Parade Apt 87</t>
  </si>
  <si>
    <t>5dcb295d-92df-a147-ebcc-aa49b6262830</t>
  </si>
  <si>
    <t>Ward668</t>
  </si>
  <si>
    <t>Nicolas769</t>
  </si>
  <si>
    <t>841 Stracke Ville</t>
  </si>
  <si>
    <t>2fba7dea-4301-5e5d-e855-04e47ae148d9</t>
  </si>
  <si>
    <t>Charles364</t>
  </si>
  <si>
    <t>Hayes766</t>
  </si>
  <si>
    <t>PhD</t>
  </si>
  <si>
    <t>1098 Hermiston Flat</t>
  </si>
  <si>
    <t>Hingham</t>
  </si>
  <si>
    <t>Plymouth County</t>
  </si>
  <si>
    <t>4aae2c97-0926-2095-ec40-a43ab2aaa9b9</t>
  </si>
  <si>
    <t>Linsey338</t>
  </si>
  <si>
    <t>Thiel172</t>
  </si>
  <si>
    <t>519 Auer Wynd</t>
  </si>
  <si>
    <t>f10f2d5d-eb60-86a3-accb-abe6eb1312c0</t>
  </si>
  <si>
    <t>Lucas404</t>
  </si>
  <si>
    <t>540 Cole Byway</t>
  </si>
  <si>
    <t>42d47ab6-c31b-2815-38c2-43cba1744dce</t>
  </si>
  <si>
    <t>Mollie266</t>
  </si>
  <si>
    <t>Christiansen251</t>
  </si>
  <si>
    <t>Halvorson124</t>
  </si>
  <si>
    <t>203 Thiel Ferry</t>
  </si>
  <si>
    <t>2607919d-bfeb-acb1-9bf4-3716a460f970</t>
  </si>
  <si>
    <t>Armando772</t>
  </si>
  <si>
    <t>Barela183</t>
  </si>
  <si>
    <t>462 Boyle Esplanade</t>
  </si>
  <si>
    <t>7ea6bcc8-754c-3186-a192-d7115497c7ec</t>
  </si>
  <si>
    <t>Len277</t>
  </si>
  <si>
    <t>Ebert178</t>
  </si>
  <si>
    <t>902 Bechtelar Gate Unit 15</t>
  </si>
  <si>
    <t>712e95dd-f313-39c7-1fc9-8463c15c105f</t>
  </si>
  <si>
    <t>Benito209</t>
  </si>
  <si>
    <t>Zavala169</t>
  </si>
  <si>
    <t>1059 Parisian Wynd Suite 52</t>
  </si>
  <si>
    <t>512ea0ee-ef07-fd6c-4cba-8318dc996075</t>
  </si>
  <si>
    <t>Ira784</t>
  </si>
  <si>
    <t>Lowe577</t>
  </si>
  <si>
    <t>1054 Hoeger Trafficway Unit 12</t>
  </si>
  <si>
    <t>da7825b5-255a-ebeb-b93a-06fb3081e2bb</t>
  </si>
  <si>
    <t>Pablo44</t>
  </si>
  <si>
    <t>Gamez720</t>
  </si>
  <si>
    <t>683 Kovacek Viaduct</t>
  </si>
  <si>
    <t>d985cd4b-b1db-dfe8-4b07-66bc9b840ea0</t>
  </si>
  <si>
    <t>Dottie687</t>
  </si>
  <si>
    <t>Bogan287</t>
  </si>
  <si>
    <t>377 Koss Mews Apt 18</t>
  </si>
  <si>
    <t>Newton</t>
  </si>
  <si>
    <t>ef045053-7be8-48a5-935e-1115da877558</t>
  </si>
  <si>
    <t>Rocio28</t>
  </si>
  <si>
    <t>Lakin515</t>
  </si>
  <si>
    <t>944 Mitchell Rapid</t>
  </si>
  <si>
    <t>74cdca0e-2569-c4bd-c985-8feb258ea72a</t>
  </si>
  <si>
    <t>Jude172</t>
  </si>
  <si>
    <t>Hills818</t>
  </si>
  <si>
    <t>Kovacek682</t>
  </si>
  <si>
    <t>719 Bergstrom Mall</t>
  </si>
  <si>
    <t>1f982a4d-c162-88d5-415b-fc4cab367c1b</t>
  </si>
  <si>
    <t>Cindi877</t>
  </si>
  <si>
    <t>Torp761</t>
  </si>
  <si>
    <t>Glover433</t>
  </si>
  <si>
    <t>684 Hermiston Divide Apt 70</t>
  </si>
  <si>
    <t>0c5abaaf-01be-55ac-a808-3afc6407fe0b</t>
  </si>
  <si>
    <t>Beryl690</t>
  </si>
  <si>
    <t>Roob72</t>
  </si>
  <si>
    <t>896 Bechtelar Port Suite 15</t>
  </si>
  <si>
    <t>Medford</t>
  </si>
  <si>
    <t>d24a4830-99cd-5eb4-7a38-1e1db54d1b86</t>
  </si>
  <si>
    <t>Sophia44</t>
  </si>
  <si>
    <t>1093 Pagac Stravenue</t>
  </si>
  <si>
    <t>7bde0c43-9a52-1c09-09ec-6d601f253542</t>
  </si>
  <si>
    <t>Chauncey770</t>
  </si>
  <si>
    <t>Jacobi462</t>
  </si>
  <si>
    <t>421 Cummerata Dam Unit 42</t>
  </si>
  <si>
    <t>2719fc7b-15c7-b325-5cb9-958e47ee72a0</t>
  </si>
  <si>
    <t>Delbert384</t>
  </si>
  <si>
    <t>Effertz744</t>
  </si>
  <si>
    <t>656 Lueilwitz Bypass</t>
  </si>
  <si>
    <t>8947b128-12be-4a4a-5e08-6f60059a3341</t>
  </si>
  <si>
    <t>822 Conroy Mill Unit 58</t>
  </si>
  <si>
    <t>5225f1fe-4646-8467-3a32-306b2512d0e2</t>
  </si>
  <si>
    <t>Claude750</t>
  </si>
  <si>
    <t>Batz141</t>
  </si>
  <si>
    <t>656 Blanda Light Apt 9</t>
  </si>
  <si>
    <t>9b6a7d3e-3cf2-3c4a-029e-bc7f3d15ca20</t>
  </si>
  <si>
    <t>Teodoro374</t>
  </si>
  <si>
    <t>Heredia716</t>
  </si>
  <si>
    <t>805 Tromp Flat</t>
  </si>
  <si>
    <t>c53839c6-8871-a6ff-df1d-9e3d89c4d000</t>
  </si>
  <si>
    <t>Myles862</t>
  </si>
  <si>
    <t>Kling921</t>
  </si>
  <si>
    <t>JD</t>
  </si>
  <si>
    <t>1097 Kirlin Route</t>
  </si>
  <si>
    <t>b0d73413-9b99-241f-dea2-f82f4e63cf32</t>
  </si>
  <si>
    <t>Sun500</t>
  </si>
  <si>
    <t>Keebler762</t>
  </si>
  <si>
    <t>525 Goyette Branch</t>
  </si>
  <si>
    <t>c0ce7000-bcff-c39c-705f-a81a147b3dfe</t>
  </si>
  <si>
    <t>Kymberly381</t>
  </si>
  <si>
    <t>Ernser583</t>
  </si>
  <si>
    <t>204 Funk Crossroad</t>
  </si>
  <si>
    <t>2f6c035b-a11d-9373-89af-0cb2195592d2</t>
  </si>
  <si>
    <t>Demetra94</t>
  </si>
  <si>
    <t>Sawayn19</t>
  </si>
  <si>
    <t>816 Mante Landing Suite 85</t>
  </si>
  <si>
    <t>e051f8a9-b93e-e32c-5b27-948e919f5590</t>
  </si>
  <si>
    <t>Cornell131</t>
  </si>
  <si>
    <t>Fadel536</t>
  </si>
  <si>
    <t>855 Botsford Drive</t>
  </si>
  <si>
    <t>83d1e9b6-facd-e50f-6efb-2bdf2bc80145</t>
  </si>
  <si>
    <t>Clemente531</t>
  </si>
  <si>
    <t>Vergara204</t>
  </si>
  <si>
    <t>748 Crona Parade Unit 76</t>
  </si>
  <si>
    <t>6e8e0498-187a-d038-c7af-716b12e70455</t>
  </si>
  <si>
    <t>Carla633</t>
  </si>
  <si>
    <t>Urrutia540</t>
  </si>
  <si>
    <t>574 Schulist Mews Apt 60</t>
  </si>
  <si>
    <t>8e6b0a8e-a11d-c938-9bf8-499d8378db12</t>
  </si>
  <si>
    <t>Delgadillo349</t>
  </si>
  <si>
    <t>449 Goyette Way Unit 73</t>
  </si>
  <si>
    <t>4c1a0408-1189-83df-4ae5-8d6311b97aea</t>
  </si>
  <si>
    <t>Lucina142</t>
  </si>
  <si>
    <t>190 Jast Extension Unit 70</t>
  </si>
  <si>
    <t>30de7fd4-ffab-b738-ba5b-cb630dad3d5c</t>
  </si>
  <si>
    <t>Margert370</t>
  </si>
  <si>
    <t>Pagac496</t>
  </si>
  <si>
    <t>Will178</t>
  </si>
  <si>
    <t>610 Stark Knoll Apt 93</t>
  </si>
  <si>
    <t>09e300d4-71f6-d2c2-88ea-27b607513e96</t>
  </si>
  <si>
    <t>Lakisha305</t>
  </si>
  <si>
    <t>Rolfson709</t>
  </si>
  <si>
    <t>Nolan344</t>
  </si>
  <si>
    <t>325 Jakubowski Bay Unit 78</t>
  </si>
  <si>
    <t>a920948a-7a64-e642-44b8-605ebcef09b1</t>
  </si>
  <si>
    <t>Javier97</t>
  </si>
  <si>
    <t>Ruiz676</t>
  </si>
  <si>
    <t>305 Cole Bridge Apt 94</t>
  </si>
  <si>
    <t>28fb4473-1424-1fda-aa52-105bd7abaec3</t>
  </si>
  <si>
    <t>Delinda651</t>
  </si>
  <si>
    <t>798 Satterfield Run</t>
  </si>
  <si>
    <t>2147f600-50e5-d6c8-ae1e-930dc97e0664</t>
  </si>
  <si>
    <t>861 Ziemann Burg Apt 47</t>
  </si>
  <si>
    <t>1685befc-4c9e-a69f-d65f-952abe34c74c</t>
  </si>
  <si>
    <t>Luigi346</t>
  </si>
  <si>
    <t>Satterfield305</t>
  </si>
  <si>
    <t>325 Buckridge Drive</t>
  </si>
  <si>
    <t>11844ff2-5918-bb2f-5b7d-65aa702f0cd8</t>
  </si>
  <si>
    <t>Izetta651</t>
  </si>
  <si>
    <t>Farrell962</t>
  </si>
  <si>
    <t>733 Abshire Gate Apt 86</t>
  </si>
  <si>
    <t>b1718eb9-d687-b7f6-d6a3-ed99fb61d3f8</t>
  </si>
  <si>
    <t>Keva141</t>
  </si>
  <si>
    <t>Cummerata161</t>
  </si>
  <si>
    <t>Rau926</t>
  </si>
  <si>
    <t>950 Hudson Parade</t>
  </si>
  <si>
    <t>dabb67a9-bc4b-bc40-696e-65546a548d39</t>
  </si>
  <si>
    <t>Martin117</t>
  </si>
  <si>
    <t>Konopelski743</t>
  </si>
  <si>
    <t>247 Bauch Rest</t>
  </si>
  <si>
    <t>6b495db9-938d-ef65-ee0d-1d4224e77157</t>
  </si>
  <si>
    <t>Shannon293</t>
  </si>
  <si>
    <t>Hartmann983</t>
  </si>
  <si>
    <t>979 Donnelly Ranch Unit 21</t>
  </si>
  <si>
    <t>49bc1d54-ed70-7ec5-02cb-76c178292427</t>
  </si>
  <si>
    <t>Kurtis994</t>
  </si>
  <si>
    <t>Bartell116</t>
  </si>
  <si>
    <t>103 Will Meadow</t>
  </si>
  <si>
    <t>3e834f22-c366-4385-cbee-c11e3feb329a</t>
  </si>
  <si>
    <t>Lazaro919</t>
  </si>
  <si>
    <t>Herman763</t>
  </si>
  <si>
    <t>664 Walter Mill</t>
  </si>
  <si>
    <t>bc00349c-53a2-0851-77ab-60164bec8202</t>
  </si>
  <si>
    <t>Micha632</t>
  </si>
  <si>
    <t>Doyle959</t>
  </si>
  <si>
    <t>534 Terry Trail Unit 91</t>
  </si>
  <si>
    <t>778ba8e5-5f9b-31b7-e3b5-460a32c482b4</t>
  </si>
  <si>
    <t>Alayna598</t>
  </si>
  <si>
    <t>Bergstrom287</t>
  </si>
  <si>
    <t>997 Toy Station Suite 34</t>
  </si>
  <si>
    <t>Winthrop</t>
  </si>
  <si>
    <t>3a760999-9273-f614-a31d-cb134cd40c31</t>
  </si>
  <si>
    <t>Lynne528</t>
  </si>
  <si>
    <t>Hammes673</t>
  </si>
  <si>
    <t>Beer512</t>
  </si>
  <si>
    <t>1076 Huel Ramp</t>
  </si>
  <si>
    <t>481cc195-b1b2-d08d-990d-e6f588a619ea</t>
  </si>
  <si>
    <t>Winford225</t>
  </si>
  <si>
    <t>934 Mann Vale</t>
  </si>
  <si>
    <t>a7426d06-9c0a-f05b-c9da-63eefb5c3bd3</t>
  </si>
  <si>
    <t>Rosanne862</t>
  </si>
  <si>
    <t>Kshlerin58</t>
  </si>
  <si>
    <t>952 Hermiston Corner</t>
  </si>
  <si>
    <t>50723ad0-36ac-615b-14dc-ca93019aba6b</t>
  </si>
  <si>
    <t>Rosa195</t>
  </si>
  <si>
    <t>Gollum504</t>
  </si>
  <si>
    <t>Montes106</t>
  </si>
  <si>
    <t>330 Orn Trail</t>
  </si>
  <si>
    <t>d3212224-2a5f-6a90-e111-4de13c97882f</t>
  </si>
  <si>
    <t>Loise968</t>
  </si>
  <si>
    <t>Bednar518</t>
  </si>
  <si>
    <t>673 Bartell Pathway Apt 71</t>
  </si>
  <si>
    <t>fc01104b-f296-073d-3a06-77f1cc886950</t>
  </si>
  <si>
    <t>Adrianna470</t>
  </si>
  <si>
    <t>Barrows492</t>
  </si>
  <si>
    <t>187 Langworth View Apt 57</t>
  </si>
  <si>
    <t>f2436301-8a23-a982-6445-3b7c54aeb670</t>
  </si>
  <si>
    <t>Gil594</t>
  </si>
  <si>
    <t>Reilly981</t>
  </si>
  <si>
    <t>281 Moore Parade</t>
  </si>
  <si>
    <t>1a452603-0f36-96e9-cdd2-5cb7b86d38af</t>
  </si>
  <si>
    <t>Fallon874</t>
  </si>
  <si>
    <t>Osinski784</t>
  </si>
  <si>
    <t>Wintheiser220</t>
  </si>
  <si>
    <t>305 Kilback Station</t>
  </si>
  <si>
    <t>43e50fdd-f126-eacc-0a77-55d6c20bdf71</t>
  </si>
  <si>
    <t>Marlon619</t>
  </si>
  <si>
    <t>Boehm581</t>
  </si>
  <si>
    <t>695 Mills Annex Apt 79</t>
  </si>
  <si>
    <t>7f3c281d-50ec-5728-d46c-db6f5956f168</t>
  </si>
  <si>
    <t>Melynda458</t>
  </si>
  <si>
    <t>McClure239</t>
  </si>
  <si>
    <t>Hudson301</t>
  </si>
  <si>
    <t>579 Konopelski View Unit 93</t>
  </si>
  <si>
    <t>19d9c6b1-6a1c-7ba3-8648-e0150491a7a7</t>
  </si>
  <si>
    <t>Trena506</t>
  </si>
  <si>
    <t>Ferry570</t>
  </si>
  <si>
    <t>Altenwerth646</t>
  </si>
  <si>
    <t>648 Roob Throughway Suite 69</t>
  </si>
  <si>
    <t>509df6f0-3012-d067-317b-375ccaa8f3d9</t>
  </si>
  <si>
    <t>Laverne101</t>
  </si>
  <si>
    <t>Rath779</t>
  </si>
  <si>
    <t>1075 Rogahn Neck</t>
  </si>
  <si>
    <t>1ed4864d-27c6-0205-9cb9-b8883686ab89</t>
  </si>
  <si>
    <t>Wendell199</t>
  </si>
  <si>
    <t>Hessel84</t>
  </si>
  <si>
    <t>483 Miller Fork</t>
  </si>
  <si>
    <t>2ae41957-7fa9-fe22-5835-59c56d0a1861</t>
  </si>
  <si>
    <t>Charlette938</t>
  </si>
  <si>
    <t>Reichert620</t>
  </si>
  <si>
    <t>895 Donnelly Gateway Apt 48</t>
  </si>
  <si>
    <t>36610533-fdd2-c855-a0c3-085bf30eebfc</t>
  </si>
  <si>
    <t>Pearly845</t>
  </si>
  <si>
    <t>Schulist381</t>
  </si>
  <si>
    <t>430 Bosco Stravenue Suite 31</t>
  </si>
  <si>
    <t>19e7fef9-9b88-ebb5-7704-b238be88f5fc</t>
  </si>
  <si>
    <t>Patricia625</t>
  </si>
  <si>
    <t>Sevilla788</t>
  </si>
  <si>
    <t>1098 Anderson Byway</t>
  </si>
  <si>
    <t>ff1b3c26-53a6-4590-ce79-a3f7269274ea</t>
  </si>
  <si>
    <t>Candi549</t>
  </si>
  <si>
    <t>Hane680</t>
  </si>
  <si>
    <t>Thompson596</t>
  </si>
  <si>
    <t>476 Price Bypass</t>
  </si>
  <si>
    <t>1fc70608-ecd7-a4a6-b003-fde15137d541</t>
  </si>
  <si>
    <t>Yolanda648</t>
  </si>
  <si>
    <t>Montoya249</t>
  </si>
  <si>
    <t>Gallegos952</t>
  </si>
  <si>
    <t>720 Yost Loaf Suite 17</t>
  </si>
  <si>
    <t>bc4bc1c7-5887-80a6-383b-16dd61054474</t>
  </si>
  <si>
    <t>Emelda84</t>
  </si>
  <si>
    <t>Funk324</t>
  </si>
  <si>
    <t>Kirlin939</t>
  </si>
  <si>
    <t>405 Prosacco Rapid Unit 40</t>
  </si>
  <si>
    <t>9bb258bc-abcb-1473-22dd-be65c1c5ad23</t>
  </si>
  <si>
    <t>Shawn523</t>
  </si>
  <si>
    <t>Borer986</t>
  </si>
  <si>
    <t>671 Gerlach Run Apt 46</t>
  </si>
  <si>
    <t>Brookline</t>
  </si>
  <si>
    <t>313d2627-15e7-c9a3-489b-dfaf1a8cf138</t>
  </si>
  <si>
    <t>Hollis7</t>
  </si>
  <si>
    <t>Considine820</t>
  </si>
  <si>
    <t>599 Conroy Skyway Suite 50</t>
  </si>
  <si>
    <t>d14b5ecd-e7c8-4f73-75a5-bbdc79917c94</t>
  </si>
  <si>
    <t>Roxane435</t>
  </si>
  <si>
    <t>McCullough561</t>
  </si>
  <si>
    <t>657 Bartoletti Mews</t>
  </si>
  <si>
    <t>86e36715-1b85-289d-83d3-790a7bcf51bd</t>
  </si>
  <si>
    <t>Eldon28</t>
  </si>
  <si>
    <t>Green467</t>
  </si>
  <si>
    <t>167 Morissette Pathway Unit 20</t>
  </si>
  <si>
    <t>Braintree</t>
  </si>
  <si>
    <t>bd06b837-73f9-36df-27ca-1537addad371</t>
  </si>
  <si>
    <t>Trevor374</t>
  </si>
  <si>
    <t>644 Marvin Dale</t>
  </si>
  <si>
    <t>d987f077-6c49-b9c3-1217-0a435364edd0</t>
  </si>
  <si>
    <t>Richard937</t>
  </si>
  <si>
    <t>Ryan260</t>
  </si>
  <si>
    <t>1066 Kessler Junction Suite 48</t>
  </si>
  <si>
    <t>b1c5cbc4-4bf4-ef9b-1507-8a87d3c8f10d</t>
  </si>
  <si>
    <t>Libby988</t>
  </si>
  <si>
    <t>Wuckert783</t>
  </si>
  <si>
    <t>McKenzie376</t>
  </si>
  <si>
    <t>792 Tromp Club Unit 84</t>
  </si>
  <si>
    <t>9fd941d1-a6a1-a223-c359-757c37d5eae6</t>
  </si>
  <si>
    <t>Braun514</t>
  </si>
  <si>
    <t>20f86dda-a492-2acc-63fb-2c361b0367ed</t>
  </si>
  <si>
    <t>Coretta598</t>
  </si>
  <si>
    <t>Hettinger594</t>
  </si>
  <si>
    <t>Roberts511</t>
  </si>
  <si>
    <t>438 Collins Grove Unit 52</t>
  </si>
  <si>
    <t>2a1fdd2a-bd79-8e25-2ff4-9d60f48e6597</t>
  </si>
  <si>
    <t>Eliza161</t>
  </si>
  <si>
    <t>Murazik203</t>
  </si>
  <si>
    <t>489 Rogahn Underpass</t>
  </si>
  <si>
    <t>7ac9ddd0-1d38-ecf3-ba95-c5f0695cc6c0</t>
  </si>
  <si>
    <t>Darren774</t>
  </si>
  <si>
    <t>Bruen238</t>
  </si>
  <si>
    <t>434 Koelpin Alley</t>
  </si>
  <si>
    <t>814d792a-34dc-914b-d260-fe697866957a</t>
  </si>
  <si>
    <t>Monroe732</t>
  </si>
  <si>
    <t>Quigley282</t>
  </si>
  <si>
    <t>516 Lemke Meadow</t>
  </si>
  <si>
    <t>f89472c6-994a-e5f2-c1c7-467509dfd857</t>
  </si>
  <si>
    <t>Levi940</t>
  </si>
  <si>
    <t>1025 Romaguera Quay</t>
  </si>
  <si>
    <t>c86a8d7c-98c1-332b-5c04-4301a0d2eac2</t>
  </si>
  <si>
    <t>Grace552</t>
  </si>
  <si>
    <t>Wunsch504</t>
  </si>
  <si>
    <t>Jerde200</t>
  </si>
  <si>
    <t>453 Schroeder Path</t>
  </si>
  <si>
    <t>bcae4aac-8473-01c4-8ce9-ac5245674dbb</t>
  </si>
  <si>
    <t>Tanisha724</t>
  </si>
  <si>
    <t>Hauck852</t>
  </si>
  <si>
    <t>Carroll471</t>
  </si>
  <si>
    <t>967 Koepp Union Suite 65</t>
  </si>
  <si>
    <t>Lynnfield</t>
  </si>
  <si>
    <t>Essex County</t>
  </si>
  <si>
    <t>45b87421-394d-6654-4d81-6cb5b165e455</t>
  </si>
  <si>
    <t>Marivel862</t>
  </si>
  <si>
    <t>Little434</t>
  </si>
  <si>
    <t>107 Bayer Mall Unit 32</t>
  </si>
  <si>
    <t>f116b085-d008-e6c6-0cc9-80615a18c7dc</t>
  </si>
  <si>
    <t>Stuart913</t>
  </si>
  <si>
    <t>446 Von Key Suite 92</t>
  </si>
  <si>
    <t>be90039b-4cb5-a969-9b98-23e89e42f421</t>
  </si>
  <si>
    <t>Anibal473</t>
  </si>
  <si>
    <t>Veum823</t>
  </si>
  <si>
    <t>621 Larkin Wall</t>
  </si>
  <si>
    <t>8743c20d-1312-17ef-8eeb-17e7f2083061</t>
  </si>
  <si>
    <t>Arron144</t>
  </si>
  <si>
    <t>King743</t>
  </si>
  <si>
    <t>874 Bradtke Trace</t>
  </si>
  <si>
    <t>75e63977-5881-0193-fbc5-ee9950779d13</t>
  </si>
  <si>
    <t>Fabian647</t>
  </si>
  <si>
    <t>Kub800</t>
  </si>
  <si>
    <t>427 Hirthe Underpass</t>
  </si>
  <si>
    <t>8eefc277-a191-d1cc-28eb-936e4ccef139</t>
  </si>
  <si>
    <t>Willy639</t>
  </si>
  <si>
    <t>651 Fritsch Spur Suite 33</t>
  </si>
  <si>
    <t>de60a9e4-1334-6078-c1f1-e5083bb20361</t>
  </si>
  <si>
    <t>Armand155</t>
  </si>
  <si>
    <t>113 Hermiston Gateway Unit 23</t>
  </si>
  <si>
    <t>99c69605-c30c-1a8e-05f8-70ce9d849103</t>
  </si>
  <si>
    <t>Cristobal567</t>
  </si>
  <si>
    <t>Lomeli256</t>
  </si>
  <si>
    <t>146 Feeney Ville Apt 53</t>
  </si>
  <si>
    <t>3b46a0b7-0f34-9b9a-c319-ace4a1f58c0b</t>
  </si>
  <si>
    <t>Efrain317</t>
  </si>
  <si>
    <t>Dibbert990</t>
  </si>
  <si>
    <t>475 Wunsch Overpass</t>
  </si>
  <si>
    <t>6f54d177-0d59-257b-8cd8-96d7c2254a04</t>
  </si>
  <si>
    <t>Grady603</t>
  </si>
  <si>
    <t>Medhurst46</t>
  </si>
  <si>
    <t>916 Thiel Wynd</t>
  </si>
  <si>
    <t>dfb73d25-556b-6d1f-fb4b-0fa4b63abf68</t>
  </si>
  <si>
    <t>Diego848</t>
  </si>
  <si>
    <t>Ferrer164</t>
  </si>
  <si>
    <t>226 Hickle Neck</t>
  </si>
  <si>
    <t>6d285ea2-d91d-eaea-3203-7f9a7b430176</t>
  </si>
  <si>
    <t>Cinda869</t>
  </si>
  <si>
    <t>Lueilwitz711</t>
  </si>
  <si>
    <t>509 Satterfield Knoll Apt 45</t>
  </si>
  <si>
    <t>Hull</t>
  </si>
  <si>
    <t>3fd1cb71-cb51-294b-3136-ee38563d2f72</t>
  </si>
  <si>
    <t>Holley125</t>
  </si>
  <si>
    <t>McGlynn426</t>
  </si>
  <si>
    <t>Cremin516</t>
  </si>
  <si>
    <t>326 Jacobson Light</t>
  </si>
  <si>
    <t>b3083332-bec7-215e-ae25-fcb2ee8d47e1</t>
  </si>
  <si>
    <t>Reed154</t>
  </si>
  <si>
    <t>Zulauf375</t>
  </si>
  <si>
    <t>541 Simonis Estate Suite 94</t>
  </si>
  <si>
    <t>dc1c3f75-0055-f155-132b-1ad7302720e0</t>
  </si>
  <si>
    <t>Roselyn270</t>
  </si>
  <si>
    <t>569 Pagac View Suite 69</t>
  </si>
  <si>
    <t>260bbd84-c268-4f95-8dae-daafec137187</t>
  </si>
  <si>
    <t>Victorina579</t>
  </si>
  <si>
    <t>Nienow652</t>
  </si>
  <si>
    <t>383 Padberg Annex</t>
  </si>
  <si>
    <t>ad0b7dac-2dfe-dc89-5bdd-ad24e5dca41c</t>
  </si>
  <si>
    <t>Kirk871</t>
  </si>
  <si>
    <t>Beatty507</t>
  </si>
  <si>
    <t>565 Casper Wynd Suite 60</t>
  </si>
  <si>
    <t>ed5a29a9-c011-1d92-370f-b1b0cf81dbe3</t>
  </si>
  <si>
    <t>Leonora414</t>
  </si>
  <si>
    <t>Sauer652</t>
  </si>
  <si>
    <t>444 Jakubowski Pathway</t>
  </si>
  <si>
    <t>89288edc-24f5-982d-83d9-a05e12d188a7</t>
  </si>
  <si>
    <t>Bernier607</t>
  </si>
  <si>
    <t>1003 Crooks Way</t>
  </si>
  <si>
    <t>9eb99e6f-21e9-c2dc-835f-13c6a53f9a16</t>
  </si>
  <si>
    <t>Marcelle381</t>
  </si>
  <si>
    <t>O'Kon634</t>
  </si>
  <si>
    <t>344 Bins Passage Unit 26</t>
  </si>
  <si>
    <t>253eb00a-14cd-d4f1-b253-9ab9d681ac55</t>
  </si>
  <si>
    <t>Hoa730</t>
  </si>
  <si>
    <t>Schaefer657</t>
  </si>
  <si>
    <t>Schaden604</t>
  </si>
  <si>
    <t>657 Hayes Village Apt 94</t>
  </si>
  <si>
    <t>7b945a11-d840-a9d3-3421-8a0372d5ff9a</t>
  </si>
  <si>
    <t>Florencia449</t>
  </si>
  <si>
    <t>Padberg411</t>
  </si>
  <si>
    <t>1047 Wiegand Alley Suite 69</t>
  </si>
  <si>
    <t>40a35599-ab4e-7b04-2759-10e850f9a896</t>
  </si>
  <si>
    <t>Lilia791</t>
  </si>
  <si>
    <t>Barajas558</t>
  </si>
  <si>
    <t>Navarrete760</t>
  </si>
  <si>
    <t>1098 Jenkins Path</t>
  </si>
  <si>
    <t>be66cdbe-0379-ab61-5cd4-13c45362895b</t>
  </si>
  <si>
    <t>Mackenzie361</t>
  </si>
  <si>
    <t>Bergnaum523</t>
  </si>
  <si>
    <t>392 Yundt Row</t>
  </si>
  <si>
    <t>17171e7a-4f3e-6d97-cc8d-bbcede20f9a7</t>
  </si>
  <si>
    <t>Chance908</t>
  </si>
  <si>
    <t>Terry864</t>
  </si>
  <si>
    <t>841 Tromp Dale Apt 44</t>
  </si>
  <si>
    <t>e34f9bdf-dd78-636f-c4b7-032078b1c2af</t>
  </si>
  <si>
    <t>Darrick836</t>
  </si>
  <si>
    <t>1042 Grady Tunnel</t>
  </si>
  <si>
    <t>3d17f121-e015-683b-df1e-21e1ddbaab9c</t>
  </si>
  <si>
    <t>Magnolia736</t>
  </si>
  <si>
    <t>Stark857</t>
  </si>
  <si>
    <t>179 Keebler Knoll Unit 15</t>
  </si>
  <si>
    <t>bfd88f6b-3a17-789b-d168-089c6ada0d16</t>
  </si>
  <si>
    <t>Roberto515</t>
  </si>
  <si>
    <t>Olivo261</t>
  </si>
  <si>
    <t>131 Mante Gate</t>
  </si>
  <si>
    <t>fed6b162-942a-1344-f218-c733a0d7082d</t>
  </si>
  <si>
    <t>Kieth891</t>
  </si>
  <si>
    <t>Shields502</t>
  </si>
  <si>
    <t>421 Cartwright Terrace Suite 43</t>
  </si>
  <si>
    <t>f4a34af7-d34b-3a28-9287-c7df7c009e5a</t>
  </si>
  <si>
    <t>Rich940</t>
  </si>
  <si>
    <t>278 Gutkowski Terrace</t>
  </si>
  <si>
    <t>1fed4785-f1d2-c104-8334-0d11d5a435ba</t>
  </si>
  <si>
    <t>Aldo414</t>
  </si>
  <si>
    <t>Hoeger474</t>
  </si>
  <si>
    <t>1054 Johnston Trace</t>
  </si>
  <si>
    <t>7c96fd5c-ae3d-308a-a9ee-948ab47860f9</t>
  </si>
  <si>
    <t>Hanh683</t>
  </si>
  <si>
    <t>774 Kautzer Well Apt 11</t>
  </si>
  <si>
    <t>71756e27-01e1-98b1-27a7-87420b64dc7b</t>
  </si>
  <si>
    <t>Hellen346</t>
  </si>
  <si>
    <t>Ziemann98</t>
  </si>
  <si>
    <t>1053 Windler Corner Apt 51</t>
  </si>
  <si>
    <t>b567e856-a258-ce72-6805-35a0d7c8c3fe</t>
  </si>
  <si>
    <t>Antone63</t>
  </si>
  <si>
    <t>Prosacco716</t>
  </si>
  <si>
    <t>295 Thiel Haven Unit 79</t>
  </si>
  <si>
    <t>ded9d0c9-ae3c-a52a-2567-234bcf5a2294</t>
  </si>
  <si>
    <t>Domenic627</t>
  </si>
  <si>
    <t>584 Hauck Trace</t>
  </si>
  <si>
    <t>fba3d563-9dee-b05d-5598-57b56b9dd26c</t>
  </si>
  <si>
    <t>Cathern761</t>
  </si>
  <si>
    <t>780 Cummings Path Apt 48</t>
  </si>
  <si>
    <t>38f9b2af-728b-f4ea-7d45-1f6e21b027cf</t>
  </si>
  <si>
    <t>Delaine470</t>
  </si>
  <si>
    <t>Rippin620</t>
  </si>
  <si>
    <t>Botsford977</t>
  </si>
  <si>
    <t>105 Blanda Ranch</t>
  </si>
  <si>
    <t>9bd29a67-4b5a-01b4-66b0-c0ebdb90ddcd</t>
  </si>
  <si>
    <t>Adriana394</t>
  </si>
  <si>
    <t>Montenegro24</t>
  </si>
  <si>
    <t>Haro814</t>
  </si>
  <si>
    <t>981 Kirlin View</t>
  </si>
  <si>
    <t>dca6e740-e04e-b0e6-7a5f-d73b11b42d1a</t>
  </si>
  <si>
    <t>Bobbye345</t>
  </si>
  <si>
    <t>Dare640</t>
  </si>
  <si>
    <t>Vandervort697</t>
  </si>
  <si>
    <t>260 Bechtelar Boulevard</t>
  </si>
  <si>
    <t>a611d4f8-d8de-92cc-590b-28be71434d0d</t>
  </si>
  <si>
    <t>Jamie386</t>
  </si>
  <si>
    <t>238 Hudson Forge</t>
  </si>
  <si>
    <t>2e5386f0-85c7-6a17-ed77-d8fcecb78b9d</t>
  </si>
  <si>
    <t>Del587</t>
  </si>
  <si>
    <t>722 Prohaska Port Unit 34</t>
  </si>
  <si>
    <t>886b4027-9cd6-d8c8-9f04-d1ccd1023d59</t>
  </si>
  <si>
    <t>Sonia106</t>
  </si>
  <si>
    <t>Toledo81</t>
  </si>
  <si>
    <t>Ybarra887</t>
  </si>
  <si>
    <t>970 Jacobs Quay</t>
  </si>
  <si>
    <t>af7ca880-2707-c0de-3ccd-ae9319f9e6f3</t>
  </si>
  <si>
    <t>Elijah719</t>
  </si>
  <si>
    <t>1011 Lowe Brook</t>
  </si>
  <si>
    <t>7c2e1929-8a1a-939b-369b-b2a4bcb55595</t>
  </si>
  <si>
    <t>Arlen68</t>
  </si>
  <si>
    <t>828 Ratke Fork Apt 49</t>
  </si>
  <si>
    <t>4dee598f-fd6b-6214-2175-c41c3307a43c</t>
  </si>
  <si>
    <t>Rayford811</t>
  </si>
  <si>
    <t>465 Bernhard Avenue Suite 20</t>
  </si>
  <si>
    <t>Scituate</t>
  </si>
  <si>
    <t>e54023a5-ae9a-fea9-3ad3-08989ea5b5aa</t>
  </si>
  <si>
    <t>Terri848</t>
  </si>
  <si>
    <t>772 Maggio Parade</t>
  </si>
  <si>
    <t>878ed63c-cd3f-bf84-15f6-e8d0cf8022a4</t>
  </si>
  <si>
    <t>Shondra529</t>
  </si>
  <si>
    <t>467 Cremin Trafficway</t>
  </si>
  <si>
    <t>905d0433-9ca3-4883-cbd4-3df36fd5f1c6</t>
  </si>
  <si>
    <t>Raleigh478</t>
  </si>
  <si>
    <t>Frami345</t>
  </si>
  <si>
    <t>758 Cormier Haven</t>
  </si>
  <si>
    <t>2a7c44d6-d786-a897-39a0-352e4d20f44f</t>
  </si>
  <si>
    <t>Basilia559</t>
  </si>
  <si>
    <t>Pollich983</t>
  </si>
  <si>
    <t>Wiza601</t>
  </si>
  <si>
    <t>299 Farrell Ramp Suite 23</t>
  </si>
  <si>
    <t>8c7f48e0-ed63-8e5e-a7b1-f7f2e88f56b7</t>
  </si>
  <si>
    <t>Maren639</t>
  </si>
  <si>
    <t>Jones311</t>
  </si>
  <si>
    <t>509 Reinger Light</t>
  </si>
  <si>
    <t>92390d09-7f82-3be6-c334-c4ecf6b5b0d1</t>
  </si>
  <si>
    <t>Alec433</t>
  </si>
  <si>
    <t>279 Mayert Extension Suite 91</t>
  </si>
  <si>
    <t>dd62510c-8446-f3c9-1246-f7a0ffa42f6a</t>
  </si>
  <si>
    <t>Caridad510</t>
  </si>
  <si>
    <t>Tafoya874</t>
  </si>
  <si>
    <t>Serrato62</t>
  </si>
  <si>
    <t>1063 Terry Harbor Apt 63</t>
  </si>
  <si>
    <t>9b874b88-a7a3-a286-ef29-ef9850d40ee3</t>
  </si>
  <si>
    <t>Angelena945</t>
  </si>
  <si>
    <t>Gibson10</t>
  </si>
  <si>
    <t>1021 Mertz Village</t>
  </si>
  <si>
    <t>5072b706-d9ce-3364-49f8-f48662a19f57</t>
  </si>
  <si>
    <t>Deidra675</t>
  </si>
  <si>
    <t>376 Schuppe Approach Apt 4</t>
  </si>
  <si>
    <t>32c7b37e-7b91-49f2-e3ce-5974515804db</t>
  </si>
  <si>
    <t>Rosario163</t>
  </si>
  <si>
    <t>204 Quitzon Camp</t>
  </si>
  <si>
    <t>Malden</t>
  </si>
  <si>
    <t>26a24d89-5f31-caf8-0904-94bf028cf3b9</t>
  </si>
  <si>
    <t>Tempie784</t>
  </si>
  <si>
    <t>Durgan499</t>
  </si>
  <si>
    <t>150 Herman Loaf Suite 87</t>
  </si>
  <si>
    <t>68612f50-5e30-cfc6-afa3-056e6ec6b6f0</t>
  </si>
  <si>
    <t>Conrad619</t>
  </si>
  <si>
    <t>Hirthe744</t>
  </si>
  <si>
    <t>730 White Wynd</t>
  </si>
  <si>
    <t>d856d6e6-4c98-e7a2-129b-44076c63d008</t>
  </si>
  <si>
    <t>Tyree261</t>
  </si>
  <si>
    <t>Hyatt152</t>
  </si>
  <si>
    <t>685 Murphy Terrace Suite 13</t>
  </si>
  <si>
    <t>6073c513-0c9f-e4ec-587d-0a0b3c4d48a5</t>
  </si>
  <si>
    <t>Elbert916</t>
  </si>
  <si>
    <t>291 Hilpert Trail Suite 12</t>
  </si>
  <si>
    <t>fb648081-114b-608c-e278-3612ec70023c</t>
  </si>
  <si>
    <t>Dudley365</t>
  </si>
  <si>
    <t>1034 Purdy Trafficway</t>
  </si>
  <si>
    <t>5427845a-82ab-b6c9-e70b-aeb672ddd5d7</t>
  </si>
  <si>
    <t>Arica110</t>
  </si>
  <si>
    <t>Mayer370</t>
  </si>
  <si>
    <t>392 Block Estate</t>
  </si>
  <si>
    <t>69790209-5130-7140-2f03-b1010b81f724</t>
  </si>
  <si>
    <t>Sabine292</t>
  </si>
  <si>
    <t>Mertz280</t>
  </si>
  <si>
    <t>628 Spinka Trafficway</t>
  </si>
  <si>
    <t>14fac7f6-418c-407d-d65f-a1159923cfd3</t>
  </si>
  <si>
    <t>Latoria810</t>
  </si>
  <si>
    <t>Bahringer146</t>
  </si>
  <si>
    <t>495 Schowalter Alley Apt 68</t>
  </si>
  <si>
    <t>a4a2651e-827a-93b4-c6ad-2353e962870e</t>
  </si>
  <si>
    <t>Jos√© Emilio366</t>
  </si>
  <si>
    <t>707 Barton Road Unit 35</t>
  </si>
  <si>
    <t>a59dbbd5-98e9-d341-9ed2-c01010910165</t>
  </si>
  <si>
    <t>Cleo27</t>
  </si>
  <si>
    <t>Von197</t>
  </si>
  <si>
    <t>676 Fadel Trail</t>
  </si>
  <si>
    <t>cfed4dfb-1b23-e237-2af6-c3863f134f00</t>
  </si>
  <si>
    <t>Olin642</t>
  </si>
  <si>
    <t>Davis923</t>
  </si>
  <si>
    <t>791 Hudson Road Unit 7</t>
  </si>
  <si>
    <t>2528e44d-1ae3-9e78-01f8-3b8ac3d30b53</t>
  </si>
  <si>
    <t>Oralee226</t>
  </si>
  <si>
    <t>Pacocha935</t>
  </si>
  <si>
    <t>Volkman526</t>
  </si>
  <si>
    <t>697 Schowalter Throughway Apt 6</t>
  </si>
  <si>
    <t>14b89c1c-8d06-f023-7272-cea523b92c2e</t>
  </si>
  <si>
    <t>Bernardo699</t>
  </si>
  <si>
    <t>256 Kulas Plaza Apt 30</t>
  </si>
  <si>
    <t>ef0eb1c5-5ef8-be88-e54c-4b68fbd77f20</t>
  </si>
  <si>
    <t>Morris740</t>
  </si>
  <si>
    <t>718 Corwin Skyway Unit 84</t>
  </si>
  <si>
    <t>e820d05f-ab90-24e5-dd6c-ea36c64cfa30</t>
  </si>
  <si>
    <t>Peg114</t>
  </si>
  <si>
    <t>Gulgowski816</t>
  </si>
  <si>
    <t>Kulas532</t>
  </si>
  <si>
    <t>350 Farrell Haven</t>
  </si>
  <si>
    <t>368c2123-8a56-2b9f-f0f4-fa88c47d2265</t>
  </si>
  <si>
    <t>Jonelle857</t>
  </si>
  <si>
    <t>Schowalter414</t>
  </si>
  <si>
    <t>Kemmer137</t>
  </si>
  <si>
    <t>982 Franecki Course</t>
  </si>
  <si>
    <t>d9f04fa2-1c29-1d3c-b529-27e0c6d2c01f</t>
  </si>
  <si>
    <t>Glory745</t>
  </si>
  <si>
    <t>Deckow585</t>
  </si>
  <si>
    <t>345 Bailey Ferry</t>
  </si>
  <si>
    <t>d914fafd-57d0-dc6b-9f8f-c43235f5782c</t>
  </si>
  <si>
    <t>Boyer713</t>
  </si>
  <si>
    <t>403 Huel Arcade</t>
  </si>
  <si>
    <t>53859bba-1c60-f385-37d1-1140524ae455</t>
  </si>
  <si>
    <t>Bueno515</t>
  </si>
  <si>
    <t>Carrasco324</t>
  </si>
  <si>
    <t>445 Gislason Passage Suite 83</t>
  </si>
  <si>
    <t>86023400-fc37-192e-2595-9912a765bf2e</t>
  </si>
  <si>
    <t>Anderson154</t>
  </si>
  <si>
    <t>Heidenreich818</t>
  </si>
  <si>
    <t>802 Pollich Rue</t>
  </si>
  <si>
    <t>84767053-d6e5-87a2-f0ff-5e6d05c0ab2b</t>
  </si>
  <si>
    <t>Camille85</t>
  </si>
  <si>
    <t>Auer97</t>
  </si>
  <si>
    <t>144 Hoppe Approach</t>
  </si>
  <si>
    <t>f1965716-2e16-0895-e7d4-7e316c1a6288</t>
  </si>
  <si>
    <t>Karrie350</t>
  </si>
  <si>
    <t>Reinger292</t>
  </si>
  <si>
    <t>Dickens475</t>
  </si>
  <si>
    <t>434 Smitham Course Unit 93</t>
  </si>
  <si>
    <t>975c7d5a-62c9-5d98-4dbb-6ce8f50b7d0d</t>
  </si>
  <si>
    <t>Marti99</t>
  </si>
  <si>
    <t>Kuhlman484</t>
  </si>
  <si>
    <t>453 Botsford Estate</t>
  </si>
  <si>
    <t>864ba131-7eef-e964-f08d-fc22343b4185</t>
  </si>
  <si>
    <t>Rashad361</t>
  </si>
  <si>
    <t>419 Osinski Crossing</t>
  </si>
  <si>
    <t>a9af1131-7f48-abd9-7d12-69fe4eb769a2</t>
  </si>
  <si>
    <t>Jacobo456</t>
  </si>
  <si>
    <t>Leyva523</t>
  </si>
  <si>
    <t>456 Franecki Fork Unit 30</t>
  </si>
  <si>
    <t>e99ba27e-4155-1e2d-47ec-becb63cf695e</t>
  </si>
  <si>
    <t>Phillip440</t>
  </si>
  <si>
    <t>227 Sipes Glen Unit 23</t>
  </si>
  <si>
    <t>80b118eb-6707-4908-ef04-e77742c6eaa2</t>
  </si>
  <si>
    <t>Audry167</t>
  </si>
  <si>
    <t>Bogisich202</t>
  </si>
  <si>
    <t>671 Parisian Divide</t>
  </si>
  <si>
    <t>56d82cb9-01fb-63bf-0ae4-5f2bdd236747</t>
  </si>
  <si>
    <t>Edward499</t>
  </si>
  <si>
    <t>404 Gleichner Run Apt 47</t>
  </si>
  <si>
    <t>d31226c3-8d28-fccf-ea25-7a51e73d3d11</t>
  </si>
  <si>
    <t>Maddie576</t>
  </si>
  <si>
    <t>Monahan736</t>
  </si>
  <si>
    <t>294 Hauck Wynd Apt 30</t>
  </si>
  <si>
    <t>09ed0d53-f114-873c-302a-8b3b16b91de9</t>
  </si>
  <si>
    <t>Shad704</t>
  </si>
  <si>
    <t>202 Nikolaus Knoll Apt 25</t>
  </si>
  <si>
    <t>923ed3c8-5f84-fe2f-5400-358040e63248</t>
  </si>
  <si>
    <t>Jen355</t>
  </si>
  <si>
    <t>Wilkinson796</t>
  </si>
  <si>
    <t>203 Becker Rue Apt 37</t>
  </si>
  <si>
    <t>a94a4742-edeb-5e5d-07a8-89f94aca722c</t>
  </si>
  <si>
    <t>Markus389</t>
  </si>
  <si>
    <t>991 Berge Plaza Apt 31</t>
  </si>
  <si>
    <t>229e0863-8c9e-52d0-d2b2-0d06968df07e</t>
  </si>
  <si>
    <t>Robbie31</t>
  </si>
  <si>
    <t>658 Heathcote Plaza Suite 84</t>
  </si>
  <si>
    <t>ac08cec0-b9dc-2f87-78af-04d0c603427b</t>
  </si>
  <si>
    <t>Devin82</t>
  </si>
  <si>
    <t>988 Wiegand Track</t>
  </si>
  <si>
    <t>877fe19e-58ab-875f-e28f-44a8d99b3704</t>
  </si>
  <si>
    <t>Mateo562</t>
  </si>
  <si>
    <t>Becerra708</t>
  </si>
  <si>
    <t>1091 O'Connell Bridge Unit 64</t>
  </si>
  <si>
    <t>381e16cd-86c8-d369-cd76-2dd9e0b5faf5</t>
  </si>
  <si>
    <t>Fredrick998</t>
  </si>
  <si>
    <t>Gutmann970</t>
  </si>
  <si>
    <t>331 Tillman Gardens</t>
  </si>
  <si>
    <t>37448778-ee2f-f420-1dc0-cb6b5e147025</t>
  </si>
  <si>
    <t>Stefan297</t>
  </si>
  <si>
    <t>Trantow673</t>
  </si>
  <si>
    <t>551 Waelchi Landing Apt 93</t>
  </si>
  <si>
    <t>2dae7142-8892-cc88-cf5f-24868b0fbd75</t>
  </si>
  <si>
    <t>Beverly445</t>
  </si>
  <si>
    <t>538 Kunze Loaf</t>
  </si>
  <si>
    <t>e7eaf3df-a981-d555-12d6-fdd50fa2631e</t>
  </si>
  <si>
    <t>Maurice742</t>
  </si>
  <si>
    <t>283 Pacocha Mews Apt 98</t>
  </si>
  <si>
    <t>5c99ac4b-faf9-a967-6911-ea7d5fe7507b</t>
  </si>
  <si>
    <t>Brant303</t>
  </si>
  <si>
    <t>Buckridge80</t>
  </si>
  <si>
    <t>476 Schroeder Row</t>
  </si>
  <si>
    <t>9bf10773-1a6a-cec1-df97-711048d95e25</t>
  </si>
  <si>
    <t>Shane235</t>
  </si>
  <si>
    <t>798 Koss Overpass</t>
  </si>
  <si>
    <t>8fe3348d-477f-541e-96df-bbe5b552104f</t>
  </si>
  <si>
    <t>Valencia279</t>
  </si>
  <si>
    <t>Schuster709</t>
  </si>
  <si>
    <t>724 Medhurst Camp</t>
  </si>
  <si>
    <t>347e81ff-1c87-b2e2-cd87-6c3ee7c773c0</t>
  </si>
  <si>
    <t>Henry768</t>
  </si>
  <si>
    <t>251 Glover Path Unit 35</t>
  </si>
  <si>
    <t>4e039b95-d4be-2869-acf9-9e5bdd8901fb</t>
  </si>
  <si>
    <t>Shella455</t>
  </si>
  <si>
    <t>McDermott739</t>
  </si>
  <si>
    <t>Conroy74</t>
  </si>
  <si>
    <t>255 Hilll Burg Unit 93</t>
  </si>
  <si>
    <t>4154af3b-78c7-4458-f02f-b7505643dc97</t>
  </si>
  <si>
    <t>Solorzano931</t>
  </si>
  <si>
    <t>Mendoza384</t>
  </si>
  <si>
    <t>322 Jenkins Port</t>
  </si>
  <si>
    <t>e0cc5f38-bb6e-d57c-80a4-76b6271700ea</t>
  </si>
  <si>
    <t>Claire652</t>
  </si>
  <si>
    <t>Schamberger479</t>
  </si>
  <si>
    <t>Brakus656</t>
  </si>
  <si>
    <t>310 Trantow Lodge Apt 19</t>
  </si>
  <si>
    <t>32c628f3-5fc3-2cdb-97e3-b1a6f8d28be8</t>
  </si>
  <si>
    <t>Katelin466</t>
  </si>
  <si>
    <t>Feil794</t>
  </si>
  <si>
    <t>Schiller186</t>
  </si>
  <si>
    <t>947 Breitenberg Club Apt 46</t>
  </si>
  <si>
    <t>b5d13571-5fde-5eaa-4313-7f079d92e6aa</t>
  </si>
  <si>
    <t>Bok974</t>
  </si>
  <si>
    <t>Morar593</t>
  </si>
  <si>
    <t>333 Dooley Common Suite 8</t>
  </si>
  <si>
    <t>d40ba361-8192-a8e6-b75c-5def4758fe3f</t>
  </si>
  <si>
    <t>Alexia646</t>
  </si>
  <si>
    <t>302 Senger Avenue</t>
  </si>
  <si>
    <t>91d33e82-3b1b-9405-665c-a4f9bd6051a8</t>
  </si>
  <si>
    <t>Beatriz277</t>
  </si>
  <si>
    <t>Arriaga291</t>
  </si>
  <si>
    <t>Anaya940</t>
  </si>
  <si>
    <t>1043 Anderson Gate</t>
  </si>
  <si>
    <t>f374b1b9-2584-6724-ac25-db16a13d0920</t>
  </si>
  <si>
    <t>Michal596</t>
  </si>
  <si>
    <t>White193</t>
  </si>
  <si>
    <t>689 Davis Well Apt 29</t>
  </si>
  <si>
    <t>Milton</t>
  </si>
  <si>
    <t>b4ee06c2-e92b-e8e5-faf0-06d27a030aa8</t>
  </si>
  <si>
    <t>Graham902</t>
  </si>
  <si>
    <t>364 Rempel Dam Suite 85</t>
  </si>
  <si>
    <t>00abe029-00fa-a666-34f5-258a36978f6d</t>
  </si>
  <si>
    <t>Lourdes258</t>
  </si>
  <si>
    <t>Torres807</t>
  </si>
  <si>
    <t>Santacruz647</t>
  </si>
  <si>
    <t>1083 Kris View Unit 89</t>
  </si>
  <si>
    <t>395b49ba-e379-f851-10e4-607623e7599c</t>
  </si>
  <si>
    <t>Jenni670</t>
  </si>
  <si>
    <t>Emard19</t>
  </si>
  <si>
    <t>708 Beahan Loaf</t>
  </si>
  <si>
    <t>33e16189-91d6-c761-f105-12742c6e5d42</t>
  </si>
  <si>
    <t>Charisse42</t>
  </si>
  <si>
    <t>Harvey63</t>
  </si>
  <si>
    <t>287 Dickinson Branch Apt 7</t>
  </si>
  <si>
    <t>e64a245c-04c8-47c2-1c4d-d26e2a5b56ab</t>
  </si>
  <si>
    <t>Ronny764</t>
  </si>
  <si>
    <t>522 Parker Row</t>
  </si>
  <si>
    <t>103d9313-a3f2-ce7f-c7c4-613dd9d51b3b</t>
  </si>
  <si>
    <t>Britta584</t>
  </si>
  <si>
    <t>Yundt842</t>
  </si>
  <si>
    <t>Rice937</t>
  </si>
  <si>
    <t>1020 Kutch Green Apt 41</t>
  </si>
  <si>
    <t>248c730b-6c13-585e-326b-3d612c7ba850</t>
  </si>
  <si>
    <t>Ailene520</t>
  </si>
  <si>
    <t>Windler79</t>
  </si>
  <si>
    <t>1092 Dach Boulevard</t>
  </si>
  <si>
    <t>8af224c5-0b2a-50be-ed8b-10ca4c315aff</t>
  </si>
  <si>
    <t>Carlos172</t>
  </si>
  <si>
    <t>Far√≠as160</t>
  </si>
  <si>
    <t>882 O'Conner Corner</t>
  </si>
  <si>
    <t>2223bc37-a9d5-bd6d-c730-5bea627179d5</t>
  </si>
  <si>
    <t>Chung121</t>
  </si>
  <si>
    <t>593 Christiansen Ferry</t>
  </si>
  <si>
    <t>c7599ac8-488a-6bb0-d234-462c4a67390d</t>
  </si>
  <si>
    <t>Stormy472</t>
  </si>
  <si>
    <t>393 Bayer Boulevard Unit 38</t>
  </si>
  <si>
    <t>b266d042-1a7c-4092-c0bf-61ab38367cd7</t>
  </si>
  <si>
    <t>Daniela614</t>
  </si>
  <si>
    <t>Ochoa950</t>
  </si>
  <si>
    <t>Avil√©s474</t>
  </si>
  <si>
    <t>605 O'Keefe Center Apt 24</t>
  </si>
  <si>
    <t>4ca3cb7c-c647-4dd8-c152-232cefec81b6</t>
  </si>
  <si>
    <t>Deeann517</t>
  </si>
  <si>
    <t>Stamm704</t>
  </si>
  <si>
    <t>906 Waelchi Neck</t>
  </si>
  <si>
    <t>89972856-786e-034e-415d-018438679ab0</t>
  </si>
  <si>
    <t>Sondra191</t>
  </si>
  <si>
    <t>897 Johnston Esplanade</t>
  </si>
  <si>
    <t>587e7054-29d1-8d0e-a9d3-adc00db3441f</t>
  </si>
  <si>
    <t>Jimmy858</t>
  </si>
  <si>
    <t>658 Huel Dam</t>
  </si>
  <si>
    <t>41ec7178-075b-3b69-28f2-2f2ad64cdc88</t>
  </si>
  <si>
    <t>Cristine925</t>
  </si>
  <si>
    <t>249 Larkin Knoll</t>
  </si>
  <si>
    <t>14c9ca6f-b990-8b49-f3ce-6cb5a9b5624c</t>
  </si>
  <si>
    <t>Chadwick722</t>
  </si>
  <si>
    <t>Adams676</t>
  </si>
  <si>
    <t>362 Zulauf Harbor</t>
  </si>
  <si>
    <t>d65806a5-c79f-4ff4-6ca3-384c880cff4c</t>
  </si>
  <si>
    <t>Bud153</t>
  </si>
  <si>
    <t>Turner526</t>
  </si>
  <si>
    <t>808 O'Hara Junction</t>
  </si>
  <si>
    <t>85fddafb-7c95-c2e6-c60a-20752ff0eb47</t>
  </si>
  <si>
    <t>Min362</t>
  </si>
  <si>
    <t>379 Schmeler Overpass Suite 44</t>
  </si>
  <si>
    <t>751490aa-3a00-9fe9-ca41-7cfa0fd0f686</t>
  </si>
  <si>
    <t>Judson999</t>
  </si>
  <si>
    <t>Smith67</t>
  </si>
  <si>
    <t>845 Reilly Gateway</t>
  </si>
  <si>
    <t>c7c4cb4f-caf1-65f1-91d1-971baf8e9aa5</t>
  </si>
  <si>
    <t>Maida946</t>
  </si>
  <si>
    <t>Jast432</t>
  </si>
  <si>
    <t>292 Wunsch Byway</t>
  </si>
  <si>
    <t>78af5d1b-9e8a-3e1b-dbc5-ab09520896fa</t>
  </si>
  <si>
    <t>Brekke496</t>
  </si>
  <si>
    <t>715 Hauck Grove</t>
  </si>
  <si>
    <t>0be1bdd3-049e-4eaa-3b43-347904cfffb0</t>
  </si>
  <si>
    <t>Violeta106</t>
  </si>
  <si>
    <t>246 Beier Lane Suite 27</t>
  </si>
  <si>
    <t>72ba1706-d583-967c-2975-e3d41f1b2e04</t>
  </si>
  <si>
    <t>Manda751</t>
  </si>
  <si>
    <t>Toy286</t>
  </si>
  <si>
    <t>818 Schulist Route Suite 39</t>
  </si>
  <si>
    <t>18e7819f-5407-9d84-de9f-27a4d5526695</t>
  </si>
  <si>
    <t>Shellie908</t>
  </si>
  <si>
    <t>Lind531</t>
  </si>
  <si>
    <t>Haley279</t>
  </si>
  <si>
    <t>520 Johns Meadow Unit 34</t>
  </si>
  <si>
    <t>e5157d96-3816-ecbb-2129-ef9f1c920afe</t>
  </si>
  <si>
    <t>Ernesto186</t>
  </si>
  <si>
    <t>122 Vandervort Flat</t>
  </si>
  <si>
    <t>bfbb45de-c406-ad1c-ea40-ecf54e76337f</t>
  </si>
  <si>
    <t>Lelia627</t>
  </si>
  <si>
    <t>772 Huel Plaza</t>
  </si>
  <si>
    <t>3583d5d3-b197-8861-8628-c4426ca361fa</t>
  </si>
  <si>
    <t>Hayden835</t>
  </si>
  <si>
    <t>O'Connell601</t>
  </si>
  <si>
    <t>903 Reichel Bypass</t>
  </si>
  <si>
    <t>33cb9b23-2cf0-28a0-6ad1-2d067022b7bc</t>
  </si>
  <si>
    <t>Tonda472</t>
  </si>
  <si>
    <t>Muller251</t>
  </si>
  <si>
    <t>432 Stracke Parade</t>
  </si>
  <si>
    <t>10cfe101-812b-77fc-5354-56c22d29b9eb</t>
  </si>
  <si>
    <t>Diane211</t>
  </si>
  <si>
    <t>Luettgen772</t>
  </si>
  <si>
    <t>Tromp100</t>
  </si>
  <si>
    <t>318 Homenick Wynd Apt 70</t>
  </si>
  <si>
    <t>80012d6e-7932-90bd-6dff-d4ef75a1ccc3</t>
  </si>
  <si>
    <t>Raven88</t>
  </si>
  <si>
    <t>Kerluke267</t>
  </si>
  <si>
    <t>Dietrich576</t>
  </si>
  <si>
    <t>679 Crist Byway Apt 50</t>
  </si>
  <si>
    <t>e0f27b95-e7cb-68d0-b6d9-b4281512037e</t>
  </si>
  <si>
    <t>Jarred626</t>
  </si>
  <si>
    <t>Runolfsdottir785</t>
  </si>
  <si>
    <t>700 Weissnat Byway Apt 81</t>
  </si>
  <si>
    <t>e45ef69c-6d65-b93b-7c16-5df7c0542d0c</t>
  </si>
  <si>
    <t>Francisco472</t>
  </si>
  <si>
    <t>Schultz619</t>
  </si>
  <si>
    <t>951 Hegmann Key Unit 49</t>
  </si>
  <si>
    <t>b75ba423-6f0a-49ac-1c45-3a7a240eb54a</t>
  </si>
  <si>
    <t>Ramon749</t>
  </si>
  <si>
    <t>Harber290</t>
  </si>
  <si>
    <t>690 Wyman Well Suite 88</t>
  </si>
  <si>
    <t>5995a611-8220-a5ed-7e0c-722c37675a2e</t>
  </si>
  <si>
    <t>Aleen595</t>
  </si>
  <si>
    <t>612 Collier Divide</t>
  </si>
  <si>
    <t>0d131071-8a0f-0dfa-0d65-2bcb93d628a0</t>
  </si>
  <si>
    <t>Jos√© Eduardo181</t>
  </si>
  <si>
    <t>Viera553</t>
  </si>
  <si>
    <t>883 Rempel Track Apt 62</t>
  </si>
  <si>
    <t>7aabb8a0-91a2-84e8-91f2-892cd9f0d3b8</t>
  </si>
  <si>
    <t>929 Bergnaum Harbor</t>
  </si>
  <si>
    <t>dbc49a8f-0f3d-e9a3-0698-d0ef0a07a31e</t>
  </si>
  <si>
    <t>Bennett146</t>
  </si>
  <si>
    <t>985 Lakin Byway Suite 96</t>
  </si>
  <si>
    <t>7015216e-a987-963d-2dd3-afae2d18cb15</t>
  </si>
  <si>
    <t>Lise687</t>
  </si>
  <si>
    <t>Tillman293</t>
  </si>
  <si>
    <t>Hamill307</t>
  </si>
  <si>
    <t>915 Anderson Rest</t>
  </si>
  <si>
    <t>d121ef59-2b73-f365-ed19-763b05f80794</t>
  </si>
  <si>
    <t>Terrell212</t>
  </si>
  <si>
    <t>Prohaska837</t>
  </si>
  <si>
    <t>Mayert710</t>
  </si>
  <si>
    <t>527 Considine Row</t>
  </si>
  <si>
    <t>bce69c8f-e46e-093f-f238-4e190649a1cb</t>
  </si>
  <si>
    <t>Jeri234</t>
  </si>
  <si>
    <t>Aufderhar910</t>
  </si>
  <si>
    <t>727 Powlowski Path</t>
  </si>
  <si>
    <t>29dfa5c2-9e82-f971-4ec0-13274b8d2700</t>
  </si>
  <si>
    <t>Magdalena964</t>
  </si>
  <si>
    <t>Mora209</t>
  </si>
  <si>
    <t>Arredondo74</t>
  </si>
  <si>
    <t>233 Towne Drive Apt 35</t>
  </si>
  <si>
    <t>b4ab9ab3-f52a-751e-a990-3bd5654d5870</t>
  </si>
  <si>
    <t>Mariano761</t>
  </si>
  <si>
    <t>Schroeder447</t>
  </si>
  <si>
    <t>446 Luettgen Mill</t>
  </si>
  <si>
    <t>c8df2044-d457-1251-6af1-f124fa0aad14</t>
  </si>
  <si>
    <t>Reginald96</t>
  </si>
  <si>
    <t>1076 Wolf Knoll Suite 36</t>
  </si>
  <si>
    <t>556c6faa-5bd5-3893-e182-65490fb6f1bf</t>
  </si>
  <si>
    <t>Jill895</t>
  </si>
  <si>
    <t>Koch169</t>
  </si>
  <si>
    <t>433 Kreiger Ferry</t>
  </si>
  <si>
    <t>3fe3c17f-bf2f-8f26-55db-d078949a8002</t>
  </si>
  <si>
    <t>Fernando603</t>
  </si>
  <si>
    <t>Murray856</t>
  </si>
  <si>
    <t>477 Jaskolski Wall</t>
  </si>
  <si>
    <t>cb6510c1-9e38-6057-ff70-c136e18d8f04</t>
  </si>
  <si>
    <t>Osvaldo336</t>
  </si>
  <si>
    <t>886 Mertz Ramp</t>
  </si>
  <si>
    <t>4c25c278-f6f6-6992-c4d0-70fa62840f6f</t>
  </si>
  <si>
    <t>Miranda712</t>
  </si>
  <si>
    <t>557 Gusikowski Branch</t>
  </si>
  <si>
    <t>0bd4835a-7d93-ed23-85a3-e552ab1c33dc</t>
  </si>
  <si>
    <t>Fritz267</t>
  </si>
  <si>
    <t>Jakubowski832</t>
  </si>
  <si>
    <t>524 Klocko Divide Apt 56</t>
  </si>
  <si>
    <t>48b3973f-fea1-1601-52e9-c6dbaf4bf550</t>
  </si>
  <si>
    <t>Bryant814</t>
  </si>
  <si>
    <t>488 Altenwerth Club Suite 48</t>
  </si>
  <si>
    <t>b872afc6-7174-ffe8-66d7-a2882f98c66f</t>
  </si>
  <si>
    <t>Lewis216</t>
  </si>
  <si>
    <t>502 Sanford Plaza Unit 27</t>
  </si>
  <si>
    <t>5f024943-8f1c-965c-6d1c-9099435fe657</t>
  </si>
  <si>
    <t>Tequila897</t>
  </si>
  <si>
    <t>360 Marvin Corner Apt 92</t>
  </si>
  <si>
    <t>b4671e80-7e87-9260-ca31-6a9397d465d1</t>
  </si>
  <si>
    <t>Issac619</t>
  </si>
  <si>
    <t>246 Turner Esplanade</t>
  </si>
  <si>
    <t>9c616fc0-00ea-249f-d073-1f3bb15d41fa</t>
  </si>
  <si>
    <t>Dannie881</t>
  </si>
  <si>
    <t>Grimes165</t>
  </si>
  <si>
    <t>Pfannerstill264</t>
  </si>
  <si>
    <t>148 Wilkinson Glen Suite 91</t>
  </si>
  <si>
    <t>3a1d301c-51c6-0b6d-4972-8ab5c69aefbb</t>
  </si>
  <si>
    <t>Echo53</t>
  </si>
  <si>
    <t>Bradtke547</t>
  </si>
  <si>
    <t>368 Lubowitz Flat</t>
  </si>
  <si>
    <t>ede74b11-30d8-0835-59d0-519c2434f32b</t>
  </si>
  <si>
    <t>Maggio310</t>
  </si>
  <si>
    <t>170 O'Hara Plaza Apt 39</t>
  </si>
  <si>
    <t>84c0682f-dda5-35f3-4544-fb7678ca4df9</t>
  </si>
  <si>
    <t>739 Koelpin Avenue Suite 92</t>
  </si>
  <si>
    <t>fccc2df6-53b9-d3f1-15ee-680d30c44557</t>
  </si>
  <si>
    <t>Dustin31</t>
  </si>
  <si>
    <t>1013 Bechtelar Rapid</t>
  </si>
  <si>
    <t>823c6b40-9dbe-e463-310b-ea2b23b23b48</t>
  </si>
  <si>
    <t>Walter473</t>
  </si>
  <si>
    <t>314 Rowe Key Apt 91</t>
  </si>
  <si>
    <t>943edc7c-ae38-1500-8545-69e9fbdac442</t>
  </si>
  <si>
    <t>Gayle448</t>
  </si>
  <si>
    <t>951 Bogan Mews Apt 17</t>
  </si>
  <si>
    <t>23cdcb5d-969b-12a3-0d79-816a206c14a9</t>
  </si>
  <si>
    <t>Gregory545</t>
  </si>
  <si>
    <t>731 Marks Boulevard</t>
  </si>
  <si>
    <t>5175fb3e-b250-7587-b9e4-ad7e9f3d1106</t>
  </si>
  <si>
    <t>Tiesha180</t>
  </si>
  <si>
    <t>211 Gleichner Promenade</t>
  </si>
  <si>
    <t>b17ffd11-c8c2-28aa-0c26-8ddc6bc5957d</t>
  </si>
  <si>
    <t>Yuette836</t>
  </si>
  <si>
    <t>114 Hegmann Path</t>
  </si>
  <si>
    <t>c383e35a-0b12-9349-1009-4c3269b3c424</t>
  </si>
  <si>
    <t>Kyle55</t>
  </si>
  <si>
    <t>Krajcik437</t>
  </si>
  <si>
    <t>411 Predovic Mission</t>
  </si>
  <si>
    <t>53464e50-0470-0a74-5fde-151a6275352c</t>
  </si>
  <si>
    <t>Aubrey96</t>
  </si>
  <si>
    <t>169 Hermann Extension Apt 38</t>
  </si>
  <si>
    <t>b8e39f41-bde3-70ce-4ebf-01b1e13bbb53</t>
  </si>
  <si>
    <t>Sandy901</t>
  </si>
  <si>
    <t>717 Gibson Village</t>
  </si>
  <si>
    <t>e16d71a8-dd31-4df2-c53c-e34726854b7c</t>
  </si>
  <si>
    <t>Gaye230</t>
  </si>
  <si>
    <t>Rodriguez71</t>
  </si>
  <si>
    <t>595 Botsford Dam Suite 91</t>
  </si>
  <si>
    <t>4cff4d5b-1d38-817f-6af7-b1642c687b21</t>
  </si>
  <si>
    <t>Bradly656</t>
  </si>
  <si>
    <t>608 Schimmel Hollow Suite 46</t>
  </si>
  <si>
    <t>6c019c93-ac9a-e532-df20-7426c541f057</t>
  </si>
  <si>
    <t>Don899</t>
  </si>
  <si>
    <t>856 Fahey Rapid</t>
  </si>
  <si>
    <t>9107aa45-d481-a887-df1f-b1e6f66c8181</t>
  </si>
  <si>
    <t>Argentina169</t>
  </si>
  <si>
    <t>882 Cronin Manor</t>
  </si>
  <si>
    <t>12f0d3df-7ea9-3005-ea7e-a4c829536a12</t>
  </si>
  <si>
    <t>Rivka589</t>
  </si>
  <si>
    <t>Johns824</t>
  </si>
  <si>
    <t>741 Thompson Fort Suite 20</t>
  </si>
  <si>
    <t>85b9044a-d232-ff24-308f-d04f505139c8</t>
  </si>
  <si>
    <t>Connie24</t>
  </si>
  <si>
    <t>Runte676</t>
  </si>
  <si>
    <t>1004 Smith Station</t>
  </si>
  <si>
    <t>c82a8390-0ffd-9808-0834-30f484c8be6d</t>
  </si>
  <si>
    <t>Barry322</t>
  </si>
  <si>
    <t>Dickinson688</t>
  </si>
  <si>
    <t>208 Kilback Hollow</t>
  </si>
  <si>
    <t>a5e0f9bb-e087-fbbf-6ae8-3ed8ccb67918</t>
  </si>
  <si>
    <t>Gus973</t>
  </si>
  <si>
    <t>Kuhic920</t>
  </si>
  <si>
    <t>0f754d9d-ddb1-aa7d-9252-cd614ba73a99</t>
  </si>
  <si>
    <t>Noelia656</t>
  </si>
  <si>
    <t>Fay398</t>
  </si>
  <si>
    <t>691 Goyette Club</t>
  </si>
  <si>
    <t>63dd8d79-f75f-a1b2-2d68-9a5840f469ce</t>
  </si>
  <si>
    <t>Maire384</t>
  </si>
  <si>
    <t>Rempel203</t>
  </si>
  <si>
    <t>O'Reilly797</t>
  </si>
  <si>
    <t>756 Zulauf Wall</t>
  </si>
  <si>
    <t>425eb47e-9025-e5b9-2690-42e32c167a8d</t>
  </si>
  <si>
    <t>Hobert364</t>
  </si>
  <si>
    <t>331 Murray Port</t>
  </si>
  <si>
    <t>ef1c2350-a7ae-f165-a080-e55a06df7ae2</t>
  </si>
  <si>
    <t>Riley817</t>
  </si>
  <si>
    <t>Rutherford999</t>
  </si>
  <si>
    <t>750 Hagenes Highlands</t>
  </si>
  <si>
    <t>40d0788e-2542-4b99-317b-d04b738c7480</t>
  </si>
  <si>
    <t>Douglass930</t>
  </si>
  <si>
    <t>Dooley940</t>
  </si>
  <si>
    <t>237 Bednar Gardens Apt 9</t>
  </si>
  <si>
    <t>e8dddac7-b7cd-5aec-13b0-2128cf20a84a</t>
  </si>
  <si>
    <t>Hector463</t>
  </si>
  <si>
    <t>Franecki195</t>
  </si>
  <si>
    <t>990 Miller Terrace</t>
  </si>
  <si>
    <t>b0c95bfd-adc4-8910-a75d-e208879c975d</t>
  </si>
  <si>
    <t>Maxwell782</t>
  </si>
  <si>
    <t>4cbfd66f-4b8a-2c2f-5307-a11f46f7bd0c</t>
  </si>
  <si>
    <t>Randell912</t>
  </si>
  <si>
    <t>731 Reichert Village Unit 15</t>
  </si>
  <si>
    <t>a12541db-140e-8189-070c-dc9f4815f40f</t>
  </si>
  <si>
    <t>Lynda214</t>
  </si>
  <si>
    <t>1023 Mraz Path Apt 88</t>
  </si>
  <si>
    <t>334ef90d-932c-005d-9714-543546cc7a93</t>
  </si>
  <si>
    <t>Diana207</t>
  </si>
  <si>
    <t>Dach178</t>
  </si>
  <si>
    <t>766 Mitchell Passage Suite 19</t>
  </si>
  <si>
    <t>c63b52eb-5cf9-82da-da5d-ad2c5029bb88</t>
  </si>
  <si>
    <t>Faustina753</t>
  </si>
  <si>
    <t>Breitenberg711</t>
  </si>
  <si>
    <t>671 Schmidt Orchard Suite 41</t>
  </si>
  <si>
    <t>b8a9622a-c154-1fda-dd3f-f28062d11527</t>
  </si>
  <si>
    <t>Loni302</t>
  </si>
  <si>
    <t>Casper496</t>
  </si>
  <si>
    <t>1089 Weber Fork Suite 76</t>
  </si>
  <si>
    <t>7f0dc5c3-f35c-df5b-8564-95aa38b575d6</t>
  </si>
  <si>
    <t>Carrol931</t>
  </si>
  <si>
    <t>Howell947</t>
  </si>
  <si>
    <t>Nader710</t>
  </si>
  <si>
    <t>1009 Bednar Viaduct</t>
  </si>
  <si>
    <t>1b688d87-54e4-6e11-ed65-900080ffef5f</t>
  </si>
  <si>
    <t>Tommy814</t>
  </si>
  <si>
    <t>Olson653</t>
  </si>
  <si>
    <t>337 Pollich Lock Unit 1</t>
  </si>
  <si>
    <t>53a74f22-fdb4-ae9a-6ac4-79bad2126039</t>
  </si>
  <si>
    <t>Porsha375</t>
  </si>
  <si>
    <t>Rosenbaum794</t>
  </si>
  <si>
    <t>412 Smith Fork Suite 29</t>
  </si>
  <si>
    <t>ebfcdf5d-6dfd-5f3e-2860-b3f93f155790</t>
  </si>
  <si>
    <t>Griego535</t>
  </si>
  <si>
    <t>632 Crist Plaza Apt 49</t>
  </si>
  <si>
    <t>df306094-dcaf-df23-9a81-3d72e6c7661f</t>
  </si>
  <si>
    <t>Georgiann138</t>
  </si>
  <si>
    <t>Kertzmann286</t>
  </si>
  <si>
    <t>Kris249</t>
  </si>
  <si>
    <t>333 Pouros Estate Unit 78</t>
  </si>
  <si>
    <t>bc9d59c3-0a30-6e3b-f47d-022e4f03c8de</t>
  </si>
  <si>
    <t>Simon598</t>
  </si>
  <si>
    <t>Grant908</t>
  </si>
  <si>
    <t>895ed9b4-ded5-6817-9da2-fb2d1cb2edb1</t>
  </si>
  <si>
    <t>Cyrus914</t>
  </si>
  <si>
    <t>Powlowski563</t>
  </si>
  <si>
    <t>779 Kovacek Passage Apt 12</t>
  </si>
  <si>
    <t>ea4880d4-7b1e-a196-ba40-e644f3057f46</t>
  </si>
  <si>
    <t>Colin861</t>
  </si>
  <si>
    <t>182 Wunsch Drive</t>
  </si>
  <si>
    <t>c5d38e3b-1e63-7f3d-ffdc-5b9edfc580af</t>
  </si>
  <si>
    <t>Paulene52</t>
  </si>
  <si>
    <t>104 Dooley Ramp Unit 51</t>
  </si>
  <si>
    <t>d333a341-4990-0f6c-5720-10afed25b70a</t>
  </si>
  <si>
    <t>Lakesha141</t>
  </si>
  <si>
    <t>Kautzer186</t>
  </si>
  <si>
    <t>Hegmann834</t>
  </si>
  <si>
    <t>1099 Streich Quay Suite 12</t>
  </si>
  <si>
    <t>d9ec2e44-32e9-9148-179a-1653348cc4e2</t>
  </si>
  <si>
    <t>Myrtis608</t>
  </si>
  <si>
    <t>860 Goldner Trailer</t>
  </si>
  <si>
    <t>6443e813-1b9b-620c-f7de-af77f9d02733</t>
  </si>
  <si>
    <t>765 Kreiger Ferry Unit 93</t>
  </si>
  <si>
    <t>d9925cf2-3c9a-6d3d-6dd6-255e72b5bccf</t>
  </si>
  <si>
    <t>Cari853</t>
  </si>
  <si>
    <t>Goldner995</t>
  </si>
  <si>
    <t>583 Thiel Port</t>
  </si>
  <si>
    <t>4624c1cc-f716-dda3-233f-2ba5bd8401ad</t>
  </si>
  <si>
    <t>Stanton715</t>
  </si>
  <si>
    <t>Ritchie586</t>
  </si>
  <si>
    <t>804 Dibbert Lock</t>
  </si>
  <si>
    <t>c38b3acf-8a73-ade7-3d36-77ee50e98812</t>
  </si>
  <si>
    <t>Filiberto722</t>
  </si>
  <si>
    <t>Weimann465</t>
  </si>
  <si>
    <t>539 Mertz Run</t>
  </si>
  <si>
    <t>9bbce184-a96b-f83f-ba38-d8785dfdcf30</t>
  </si>
  <si>
    <t>Lorena247</t>
  </si>
  <si>
    <t>979 Carroll Trail</t>
  </si>
  <si>
    <t>a6dc36b3-0ac3-48b1-3088-707e8871a914</t>
  </si>
  <si>
    <t>Cletus494</t>
  </si>
  <si>
    <t>930 Lubowitz Throughway Apt 90</t>
  </si>
  <si>
    <t>3f523789-55f3-bb31-2757-4803ca6a9c2a</t>
  </si>
  <si>
    <t>Gail741</t>
  </si>
  <si>
    <t>1020 Baumbach Key Suite 9</t>
  </si>
  <si>
    <t>a5e48272-0527-5afe-cba0-ef2e3ab31e66</t>
  </si>
  <si>
    <t>Bustos920</t>
  </si>
  <si>
    <t>353 Ondricka Overpass</t>
  </si>
  <si>
    <t>f2cc87aa-5fe3-b115-38e2-091c282b510a</t>
  </si>
  <si>
    <t>Neomi684</t>
  </si>
  <si>
    <t>273 Sipes Estate</t>
  </si>
  <si>
    <t>64903644-0d39-d9d1-b1d4-9da14ae1fe61</t>
  </si>
  <si>
    <t>887 Robel Gardens Unit 44</t>
  </si>
  <si>
    <t>553f87ca-9a73-dc78-19dd-4cf92e84a4b5</t>
  </si>
  <si>
    <t>Arianne988</t>
  </si>
  <si>
    <t>984 Metz Extension</t>
  </si>
  <si>
    <t>0d624a9d-fd1c-c62a-a1ac-b851d0329d28</t>
  </si>
  <si>
    <t>Esta787</t>
  </si>
  <si>
    <t>Kutch271</t>
  </si>
  <si>
    <t>557 Towne Glen</t>
  </si>
  <si>
    <t>d4a99fce-93f2-144d-798e-c0c5c7ed5fd2</t>
  </si>
  <si>
    <t>Larry532</t>
  </si>
  <si>
    <t>Cummings51</t>
  </si>
  <si>
    <t>Marks830</t>
  </si>
  <si>
    <t>651 Howell Corner Suite 46</t>
  </si>
  <si>
    <t>c5075aeb-d3ca-189b-d687-5379e7319895</t>
  </si>
  <si>
    <t>Sporer811</t>
  </si>
  <si>
    <t>850 Lynch Port Suite 4</t>
  </si>
  <si>
    <t>8340c2ae-f210-e304-90b9-e33eddea77b5</t>
  </si>
  <si>
    <t>Karl184</t>
  </si>
  <si>
    <t>Skiles927</t>
  </si>
  <si>
    <t>348 Rau Lane Apt 13</t>
  </si>
  <si>
    <t>a85e7f90-7602-753f-21a2-9198eb8fef89</t>
  </si>
  <si>
    <t>Charlott617</t>
  </si>
  <si>
    <t>Beier427</t>
  </si>
  <si>
    <t>Goyette777</t>
  </si>
  <si>
    <t>466 Boehm Route</t>
  </si>
  <si>
    <t>21b3c7aa-e88b-8dd3-140b-2d456563454e</t>
  </si>
  <si>
    <t>Ida350</t>
  </si>
  <si>
    <t>Weber641</t>
  </si>
  <si>
    <t>729 Morar Bay Unit 33</t>
  </si>
  <si>
    <t>2f5231cb-2f6b-1bf8-203c-09cd308fb983</t>
  </si>
  <si>
    <t>Houston994</t>
  </si>
  <si>
    <t>579 Beahan Dam Unit 90</t>
  </si>
  <si>
    <t>d965b61d-b246-b4cb-7177-1f5bdbc6a1fa</t>
  </si>
  <si>
    <t>Omer483</t>
  </si>
  <si>
    <t>Mueller846</t>
  </si>
  <si>
    <t>940 Schiller Boulevard</t>
  </si>
  <si>
    <t>b82c64b8-bb33-fb3a-e9dc-cb2e22137f43</t>
  </si>
  <si>
    <t>Vada440</t>
  </si>
  <si>
    <t>Wilderman619</t>
  </si>
  <si>
    <t>Mosciski958</t>
  </si>
  <si>
    <t>330 Von Overpass Unit 87</t>
  </si>
  <si>
    <t>192330d7-15e7-77f3-46cb-6ee916a1c6fb</t>
  </si>
  <si>
    <t>Brett333</t>
  </si>
  <si>
    <t>1051 Becker Esplanade Apt 29</t>
  </si>
  <si>
    <t>2c0acac5-9be4-cc1f-c31f-70b05e1390f9</t>
  </si>
  <si>
    <t>Song837</t>
  </si>
  <si>
    <t>809 Stark Walk Unit 3</t>
  </si>
  <si>
    <t>513c979c-9234-7182-7b47-a20d4784f86f</t>
  </si>
  <si>
    <t>Linh535</t>
  </si>
  <si>
    <t>Sanford861</t>
  </si>
  <si>
    <t>749 Rosenbaum Terrace</t>
  </si>
  <si>
    <t>3555368f-95c4-4b24-c810-51a9befaf195</t>
  </si>
  <si>
    <t>Nicola388</t>
  </si>
  <si>
    <t>Kiehn525</t>
  </si>
  <si>
    <t>636 Labadie Terrace</t>
  </si>
  <si>
    <t>23156a2b-6ae9-0046-f4a0-d8febd866416</t>
  </si>
  <si>
    <t>Marta91</t>
  </si>
  <si>
    <t>Valladares149</t>
  </si>
  <si>
    <t>Hern√°dez343</t>
  </si>
  <si>
    <t>1001 Bahringer Avenue Apt 72</t>
  </si>
  <si>
    <t>b190fd1c-295d-b2de-7844-f1836f081dc0</t>
  </si>
  <si>
    <t>Espinal146</t>
  </si>
  <si>
    <t>√Åvalos396</t>
  </si>
  <si>
    <t>807 Hyatt Junction Apt 41</t>
  </si>
  <si>
    <t>f152f20c-79ac-afd6-cfbd-85054c831677</t>
  </si>
  <si>
    <t>595 Hagenes Path Suite 46</t>
  </si>
  <si>
    <t>96fce27e-2abf-c304-9a7c-c8e9dc9b6f67</t>
  </si>
  <si>
    <t>Dulcie148</t>
  </si>
  <si>
    <t>1015 Nitzsche Trafficway Apt 9</t>
  </si>
  <si>
    <t>72583e9e-f80d-eaa9-79b3-435afcd0270d</t>
  </si>
  <si>
    <t>Ken316</t>
  </si>
  <si>
    <t>287 Walsh Meadow Apt 70</t>
  </si>
  <si>
    <t>b773d988-d066-7581-8d75-21fb1858d62d</t>
  </si>
  <si>
    <t>Minna389</t>
  </si>
  <si>
    <t>389 Runte Corner</t>
  </si>
  <si>
    <t>8af05866-2ac3-7e24-603e-057e3e36cee9</t>
  </si>
  <si>
    <t>Maryjo280</t>
  </si>
  <si>
    <t>Zemlak964</t>
  </si>
  <si>
    <t>407 Fahey Harbor Unit 0</t>
  </si>
  <si>
    <t>bb83e0bb-faa4-a1f8-e7b4-ca32347e2ca2</t>
  </si>
  <si>
    <t>Lolita963</t>
  </si>
  <si>
    <t>678 Considine Highlands</t>
  </si>
  <si>
    <t>4166c754-2e63-c55f-a959-874bc1b47366</t>
  </si>
  <si>
    <t>Carlota980</t>
  </si>
  <si>
    <t>Delafuente833</t>
  </si>
  <si>
    <t>538 Deckow Ville</t>
  </si>
  <si>
    <t>319b5f97-a1ae-70f8-d17a-5b8dacbc9b67</t>
  </si>
  <si>
    <t>Kristofer887</t>
  </si>
  <si>
    <t>Larson43</t>
  </si>
  <si>
    <t>228 Rohan Spur</t>
  </si>
  <si>
    <t>7ab5b05c-24ea-ac16-f94b-05f704f888dc</t>
  </si>
  <si>
    <t>Gregorio366</t>
  </si>
  <si>
    <t>698 Schamberger Route Suite 2</t>
  </si>
  <si>
    <t>0330487c-5d77-02a9-9f11-b3cc01d306cd</t>
  </si>
  <si>
    <t>Chris95</t>
  </si>
  <si>
    <t>106 Stroman Parade</t>
  </si>
  <si>
    <t>5b4cf569-3ee7-14a6-1723-55d41bba2b9c</t>
  </si>
  <si>
    <t>Weston546</t>
  </si>
  <si>
    <t>700 Quigley Overpass</t>
  </si>
  <si>
    <t>a7c2465f-ff3b-6b6e-60dc-888a8f281439</t>
  </si>
  <si>
    <t>Devora529</t>
  </si>
  <si>
    <t>185 Schiller Throughway</t>
  </si>
  <si>
    <t>45e08730-8bbe-9e4b-f247-044600ee4b75</t>
  </si>
  <si>
    <t>Raylene798</t>
  </si>
  <si>
    <t>Moen819</t>
  </si>
  <si>
    <t>411 Koch Landing Suite 51</t>
  </si>
  <si>
    <t>274d593d-6f24-3f40-29ce-7496d7c2bced</t>
  </si>
  <si>
    <t>Dominic463</t>
  </si>
  <si>
    <t>Mills423</t>
  </si>
  <si>
    <t>1028 Lemke Landing Unit 40</t>
  </si>
  <si>
    <t>3908f7b2-3cc0-e8cc-bf52-0678ee0d3346</t>
  </si>
  <si>
    <t>Ezequiel972</t>
  </si>
  <si>
    <t>763 Jacobs Estate</t>
  </si>
  <si>
    <t>e85e3749-fff3-bd17-ff8c-7da886759a7b</t>
  </si>
  <si>
    <t>Karon907</t>
  </si>
  <si>
    <t>Gerhold939</t>
  </si>
  <si>
    <t>1001 Herzog Crossroad</t>
  </si>
  <si>
    <t>505c4a44-212e-c4ea-5358-9d927e391b63</t>
  </si>
  <si>
    <t>Hugh686</t>
  </si>
  <si>
    <t>1015 Ritchie Route Apt 63</t>
  </si>
  <si>
    <t>60958cdd-f11d-8b47-436a-d9b73213469c</t>
  </si>
  <si>
    <t>Jeffrey461</t>
  </si>
  <si>
    <t>669 Miller Gate Unit 80</t>
  </si>
  <si>
    <t>9279705f-2e5c-2792-ae20-7a77b5b04015</t>
  </si>
  <si>
    <t>Ernestina649</t>
  </si>
  <si>
    <t>465 Satterfield Fork</t>
  </si>
  <si>
    <t>1de7f7d8-0468-7291-f980-2c7bf2e4fcf1</t>
  </si>
  <si>
    <t>Buck819</t>
  </si>
  <si>
    <t>Paucek755</t>
  </si>
  <si>
    <t>666 Rogahn Gardens</t>
  </si>
  <si>
    <t>cb6a4083-a9b6-e643-6406-76aeb685c70a</t>
  </si>
  <si>
    <t>Deb577</t>
  </si>
  <si>
    <t>Kuhn96</t>
  </si>
  <si>
    <t>Leuschke194</t>
  </si>
  <si>
    <t>1030 Beatty Center</t>
  </si>
  <si>
    <t>70338c50-5005-5031-95b1-0ef33f53b6d0</t>
  </si>
  <si>
    <t>Twana617</t>
  </si>
  <si>
    <t>Reichel38</t>
  </si>
  <si>
    <t>425 Raynor Divide Apt 55</t>
  </si>
  <si>
    <t>f55956c4-ac53-0777-18ec-b2fac3a7113a</t>
  </si>
  <si>
    <t>582 Price Brook Apt 53</t>
  </si>
  <si>
    <t>0a4359a9-c0bf-6a9d-f1d7-b06e979af479</t>
  </si>
  <si>
    <t>Dennis979</t>
  </si>
  <si>
    <t>Johnston597</t>
  </si>
  <si>
    <t>972 Raynor Tunnel</t>
  </si>
  <si>
    <t>74179ddd-f79d-d338-e371-41e7baa6eaa5</t>
  </si>
  <si>
    <t>Oswaldo857</t>
  </si>
  <si>
    <t>906 Doyle Way Unit 45</t>
  </si>
  <si>
    <t>ba4bf7b5-3abd-0a13-1886-c265251ff7d3</t>
  </si>
  <si>
    <t>Vernon254</t>
  </si>
  <si>
    <t>Turcotte120</t>
  </si>
  <si>
    <t>588 Dickens Run</t>
  </si>
  <si>
    <t>41be6472-0a71-ef60-74f5-94601045eb15</t>
  </si>
  <si>
    <t>Ike571</t>
  </si>
  <si>
    <t>Becker968</t>
  </si>
  <si>
    <t>404 Fritsch Stravenue Apt 71</t>
  </si>
  <si>
    <t>2e3709a9-aa78-7c92-f642-efe40e4be1b1</t>
  </si>
  <si>
    <t>Vina438</t>
  </si>
  <si>
    <t>Fahey393</t>
  </si>
  <si>
    <t>861 Prosacco Bay Suite 64</t>
  </si>
  <si>
    <t>9db0dbf8-264b-e2c2-e729-38b54c302b26</t>
  </si>
  <si>
    <t>Lawerence6</t>
  </si>
  <si>
    <t>aca97085-7ada-bd68-c4c4-662f84229192</t>
  </si>
  <si>
    <t>Carina240</t>
  </si>
  <si>
    <t>Crist667</t>
  </si>
  <si>
    <t>276 Sawayn Dam Suite 23</t>
  </si>
  <si>
    <t>33db95d3-8745-7a3b-ff41-ddfb29a9043e</t>
  </si>
  <si>
    <t>Rodger755</t>
  </si>
  <si>
    <t>Keeling57</t>
  </si>
  <si>
    <t>1044 Gleason Ferry Suite 55</t>
  </si>
  <si>
    <t>18953a4f-7434-b343-3b81-87af6436f8fe</t>
  </si>
  <si>
    <t>Abbie917</t>
  </si>
  <si>
    <t>Hintz995</t>
  </si>
  <si>
    <t>7b413bff-010c-161b-c7c2-11e16481e3a2</t>
  </si>
  <si>
    <t>Cameron381</t>
  </si>
  <si>
    <t>768 Harber View</t>
  </si>
  <si>
    <t>6db51ae5-7f86-5a14-1ff0-283bbd212f87</t>
  </si>
  <si>
    <t>Deandre599</t>
  </si>
  <si>
    <t>606 Rolfson Vista Unit 61</t>
  </si>
  <si>
    <t>26c008d3-cbe2-ff47-744d-cf2a82a480fc</t>
  </si>
  <si>
    <t>Valle770</t>
  </si>
  <si>
    <t>413 Parisian Branch</t>
  </si>
  <si>
    <t>2b789198-0c0c-fd84-3001-98d81f721295</t>
  </si>
  <si>
    <t>Latonia966</t>
  </si>
  <si>
    <t>717 Hintz Promenade Apt 3</t>
  </si>
  <si>
    <t>1a3939a9-e4f0-2a02-7697-8ae70501501b</t>
  </si>
  <si>
    <t>Ambrose149</t>
  </si>
  <si>
    <t>343 O'Reilly Vale</t>
  </si>
  <si>
    <t>8c8b1ea1-917e-77ef-a82a-c024a11a4f12</t>
  </si>
  <si>
    <t>Mante251</t>
  </si>
  <si>
    <t>199 Daniel Walk Suite 84</t>
  </si>
  <si>
    <t>e5f1f408-41ee-ad26-0d59-3e5477bcc7ad</t>
  </si>
  <si>
    <t>Chapa957</t>
  </si>
  <si>
    <t>684 Johnston Junction Apt 60</t>
  </si>
  <si>
    <t>9417aa86-315d-a288-7ef5-80d70ad8d5fb</t>
  </si>
  <si>
    <t>Jamar151</t>
  </si>
  <si>
    <t>282 Swift Junction Suite 64</t>
  </si>
  <si>
    <t>60d2ab2e-7598-d257-4bb8-8982f1ba7800</t>
  </si>
  <si>
    <t>Mira443</t>
  </si>
  <si>
    <t>1033 Nienow Heights</t>
  </si>
  <si>
    <t>f4cde0dc-db22-5d98-5228-55121ae74cad</t>
  </si>
  <si>
    <t>Rosamaria757</t>
  </si>
  <si>
    <t>370 Jacobson Union Apt 2</t>
  </si>
  <si>
    <t>3de74169-7f67-9304-91d4-757e0f3a14d2</t>
  </si>
  <si>
    <t>531 Little Crossing</t>
  </si>
  <si>
    <t>a650b006-e5f9-805f-6135-4badabff3287</t>
  </si>
  <si>
    <t>Vince741</t>
  </si>
  <si>
    <t>1042 Heidenreich Alley</t>
  </si>
  <si>
    <t>7676cb10-eb50-f66e-bba0-ec06c4281e01</t>
  </si>
  <si>
    <t>Hassie51</t>
  </si>
  <si>
    <t>Runolfsson901</t>
  </si>
  <si>
    <t>443 Beahan Brook Suite 45</t>
  </si>
  <si>
    <t>5da5fb30-bbf5-eb27-071a-b6318f846152</t>
  </si>
  <si>
    <t>Maryann106</t>
  </si>
  <si>
    <t>1041 Smitham Vale Suite 71</t>
  </si>
  <si>
    <t>083fef2b-5804-930e-e92f-27a698c870d6</t>
  </si>
  <si>
    <t>Adolph80</t>
  </si>
  <si>
    <t>395 Hartmann Trace Unit 7</t>
  </si>
  <si>
    <t>f543e999-394f-90f3-70d4-fea38b0d6786</t>
  </si>
  <si>
    <t>Escamilla823</t>
  </si>
  <si>
    <t>Beltr√°n716</t>
  </si>
  <si>
    <t>783 Rowe Well Unit 54</t>
  </si>
  <si>
    <t>f966f8ba-a877-289a-7f05-3824956043c2</t>
  </si>
  <si>
    <t>Consuela482</t>
  </si>
  <si>
    <t>Torphy630</t>
  </si>
  <si>
    <t>186 Lehner Ranch</t>
  </si>
  <si>
    <t>609e985d-e60f-aec0-49bf-78fd9945151e</t>
  </si>
  <si>
    <t>490 Hudson Dale Unit 35</t>
  </si>
  <si>
    <t>5a7a3f23-4c4a-756a-2e31-56ea40b98fc9</t>
  </si>
  <si>
    <t>Edmond919</t>
  </si>
  <si>
    <t>504 O'Conner Drive Unit 94</t>
  </si>
  <si>
    <t>885a2c8d-003f-788a-7096-274b8570c8d7</t>
  </si>
  <si>
    <t>Teodora360</t>
  </si>
  <si>
    <t>Streich926</t>
  </si>
  <si>
    <t>787 Lockman Overpass</t>
  </si>
  <si>
    <t>06c23fff-c29a-3eae-0456-4f7cb34d4fe7</t>
  </si>
  <si>
    <t>Preston275</t>
  </si>
  <si>
    <t>690 Heller Passage</t>
  </si>
  <si>
    <t>8885aba5-afce-9e3b-0c1d-a684a347b5fb</t>
  </si>
  <si>
    <t>Ana Luisa894</t>
  </si>
  <si>
    <t>Salinas3</t>
  </si>
  <si>
    <t>G√≥mez206</t>
  </si>
  <si>
    <t>826 Mitchell Lane</t>
  </si>
  <si>
    <t>10ecda86-203c-0e31-2a07-c47726523449</t>
  </si>
  <si>
    <t>Rafaela464</t>
  </si>
  <si>
    <t>383 Toy Quay</t>
  </si>
  <si>
    <t>b4e889a7-1cee-7e64-4372-955d05d73196</t>
  </si>
  <si>
    <t>Stacee229</t>
  </si>
  <si>
    <t>378 Konopelski Mall</t>
  </si>
  <si>
    <t>7412b008-76f9-b713-c514-2a5d82e3b39e</t>
  </si>
  <si>
    <t>Alexandria361</t>
  </si>
  <si>
    <t>Heaney114</t>
  </si>
  <si>
    <t>Sipes176</t>
  </si>
  <si>
    <t>140 Huels Flat</t>
  </si>
  <si>
    <t>220bc4a2-c9cf-816f-ad5e-cb0f87263724</t>
  </si>
  <si>
    <t>Earnest658</t>
  </si>
  <si>
    <t>Gorczany269</t>
  </si>
  <si>
    <t>899 Jacobs Union</t>
  </si>
  <si>
    <t>44f7e37c-273c-cf1b-4812-a64f0cf052ca</t>
  </si>
  <si>
    <t>Lorette239</t>
  </si>
  <si>
    <t>643 Schaefer Gardens</t>
  </si>
  <si>
    <t>2adb98ef-76d9-8498-ada0-d006279f8d8e</t>
  </si>
  <si>
    <t>Larae985</t>
  </si>
  <si>
    <t>Langosh790</t>
  </si>
  <si>
    <t>252 Yost Mill Unit 99</t>
  </si>
  <si>
    <t>c6ab680e-508c-8eb5-3065-e95cc9aa6612</t>
  </si>
  <si>
    <t>Ayako221</t>
  </si>
  <si>
    <t>Bode78</t>
  </si>
  <si>
    <t>542 Heidenreich Gate Unit 48</t>
  </si>
  <si>
    <t>61b98f06-958d-a2ad-6743-1457e337fcc5</t>
  </si>
  <si>
    <t>Hilary419</t>
  </si>
  <si>
    <t>Stiedemann542</t>
  </si>
  <si>
    <t>829 Huel Passage Apt 28</t>
  </si>
  <si>
    <t>fa006887-d93c-d302-8b89-f3c25f88c0e1</t>
  </si>
  <si>
    <t>Emerson869</t>
  </si>
  <si>
    <t>586 Torphy Burg</t>
  </si>
  <si>
    <t>4e0d82d6-3f47-cf4e-c2c4-8b8096d43a4b</t>
  </si>
  <si>
    <t>Evan94</t>
  </si>
  <si>
    <t>580 Cummings Path</t>
  </si>
  <si>
    <t>7b460abc-2763-2608-57bd-034b48c4ceb7</t>
  </si>
  <si>
    <t>Johnson679</t>
  </si>
  <si>
    <t>725 Skiles Orchard</t>
  </si>
  <si>
    <t>3b79fa50-ca23-b752-c292-9ba4cac97377</t>
  </si>
  <si>
    <t>Guy979</t>
  </si>
  <si>
    <t>458 Ruecker Orchard</t>
  </si>
  <si>
    <t>Reading</t>
  </si>
  <si>
    <t>8d78a9e7-f3ed-39b6-c861-7930e4206d79</t>
  </si>
  <si>
    <t>Shu104</t>
  </si>
  <si>
    <t>380 Goodwin Ranch</t>
  </si>
  <si>
    <t>1b8c0ea6-2004-fae4-e087-6eb0ad25ea5d</t>
  </si>
  <si>
    <t>Danny396</t>
  </si>
  <si>
    <t>443 Pfeffer Dam</t>
  </si>
  <si>
    <t>cd7d9e02-c87d-7b8a-786c-2449376f9e62</t>
  </si>
  <si>
    <t>Susan422</t>
  </si>
  <si>
    <t>Gaylord332</t>
  </si>
  <si>
    <t>855 Roob Boulevard</t>
  </si>
  <si>
    <t>a74f1065-3d40-3806-48b1-53d1a8ec72a0</t>
  </si>
  <si>
    <t>Carlo647</t>
  </si>
  <si>
    <t>947 Von Gate</t>
  </si>
  <si>
    <t>6c627601-f7ae-1488-def0-25b24e6fd94b</t>
  </si>
  <si>
    <t>Coy949</t>
  </si>
  <si>
    <t>373 Bogisich Vista</t>
  </si>
  <si>
    <t>e0161f94-5f08-3eff-04f5-3e6472173775</t>
  </si>
  <si>
    <t>Denver542</t>
  </si>
  <si>
    <t>Ratke343</t>
  </si>
  <si>
    <t>682 Sauer Well Suite 71</t>
  </si>
  <si>
    <t>4111766b-a955-ebac-86d1-d208258bdb64</t>
  </si>
  <si>
    <t>Joaquin141</t>
  </si>
  <si>
    <t>938 Bailey Key</t>
  </si>
  <si>
    <t>30a71264-b2f8-fc1b-46fc-ff6ad37c8d13</t>
  </si>
  <si>
    <t>Long300</t>
  </si>
  <si>
    <t>810 Cummerata Rest Suite 81</t>
  </si>
  <si>
    <t>655bae4a-fce9-bb11-dd9a-c1e2ecccecef</t>
  </si>
  <si>
    <t>725 Legros Highlands Apt 34</t>
  </si>
  <si>
    <t>1847e010-e06a-4a1b-ec78-aef7bb58788f</t>
  </si>
  <si>
    <t>Dicki44</t>
  </si>
  <si>
    <t>133 Schmeler Bridge Unit 88</t>
  </si>
  <si>
    <t>63f611e6-89cb-f3b8-c861-b074599c8c05</t>
  </si>
  <si>
    <t>Franklyn361</t>
  </si>
  <si>
    <t>371 Ritchie Bridge</t>
  </si>
  <si>
    <t>975f5cd9-bcfa-ef48-6fa2-9e0ca870f177</t>
  </si>
  <si>
    <t>Eura647</t>
  </si>
  <si>
    <t>Senger904</t>
  </si>
  <si>
    <t>870 Becker Promenade</t>
  </si>
  <si>
    <t>701481a6-6d01-4325-4ee4-2b985e642e7b</t>
  </si>
  <si>
    <t>Marian936</t>
  </si>
  <si>
    <t>1078 Baumbach Fort Unit 3</t>
  </si>
  <si>
    <t>cc82a64a-f1f1-660d-fbde-2cd34aef8b9c</t>
  </si>
  <si>
    <t>Antonia30</t>
  </si>
  <si>
    <t>Rubio813</t>
  </si>
  <si>
    <t>Vanegas191</t>
  </si>
  <si>
    <t>763 Price Boulevard</t>
  </si>
  <si>
    <t>1c814968-4abd-64bb-6c0d-127b09b30d2f</t>
  </si>
  <si>
    <t>828 Friesen Flat</t>
  </si>
  <si>
    <t>57e9bf0d-8231-61a8-7474-58568e0bc96c</t>
  </si>
  <si>
    <t>Anthony633</t>
  </si>
  <si>
    <t>Cronin387</t>
  </si>
  <si>
    <t>723 Kertzmann Divide</t>
  </si>
  <si>
    <t>f284e57a-4038-2d22-4282-51acee43c2ac</t>
  </si>
  <si>
    <t>Vera718</t>
  </si>
  <si>
    <t>Donnelly343</t>
  </si>
  <si>
    <t>874 Sanford Lock Suite 36</t>
  </si>
  <si>
    <t>eda6bc14-b236-e8c6-509a-b293e9cc688b</t>
  </si>
  <si>
    <t>Wilburn655</t>
  </si>
  <si>
    <t>Rogahn59</t>
  </si>
  <si>
    <t>476 Hessel Knoll Apt 29</t>
  </si>
  <si>
    <t>1cc1289f-eda2-1cca-3dc9-02b958c16e32</t>
  </si>
  <si>
    <t>Travis723</t>
  </si>
  <si>
    <t>Howe413</t>
  </si>
  <si>
    <t>210 Streich Trail</t>
  </si>
  <si>
    <t>9f6ca4ff-8cbe-eb2e-0eb9-3813883ac0b8</t>
  </si>
  <si>
    <t>Teddy976</t>
  </si>
  <si>
    <t>Cruickshank494</t>
  </si>
  <si>
    <t>601 Corkery Viaduct</t>
  </si>
  <si>
    <t>01d788c7-60ac-6415-4cf2-7ecc9ab3aabf</t>
  </si>
  <si>
    <t>Vonnie403</t>
  </si>
  <si>
    <t>261 Douglas Haven</t>
  </si>
  <si>
    <t>ee010f0d-1894-297e-6ce8-7ca5286ac909</t>
  </si>
  <si>
    <t>Frank378</t>
  </si>
  <si>
    <t>570 Kozey Esplanade</t>
  </si>
  <si>
    <t>6961609b-1268-6292-9c09-90355f9e73a9</t>
  </si>
  <si>
    <t>Luke971</t>
  </si>
  <si>
    <t>457 Block Camp</t>
  </si>
  <si>
    <t>5e3d58dd-39d9-19df-3539-8d54d3c0e4d5</t>
  </si>
  <si>
    <t>Terrence276</t>
  </si>
  <si>
    <t>387 Torphy Port Apt 85</t>
  </si>
  <si>
    <t>1754e352-78e5-4923-0b2c-3adff788479d</t>
  </si>
  <si>
    <t>Deedra511</t>
  </si>
  <si>
    <t>Hahn503</t>
  </si>
  <si>
    <t>337 Jaskolski Annex Apt 47</t>
  </si>
  <si>
    <t>ce9de8b9-f291-cea2-835e-c86b9a4ef91b</t>
  </si>
  <si>
    <t>Erinn548</t>
  </si>
  <si>
    <t>587 Dietrich Vale Apt 41</t>
  </si>
  <si>
    <t>1b11225b-e282-a8a3-ce63-2336e3f28f57</t>
  </si>
  <si>
    <t>519 Hane Row Unit 45</t>
  </si>
  <si>
    <t>40fd8032-aff7-ec24-bffa-66a09cb2c77d</t>
  </si>
  <si>
    <t>Prieto999</t>
  </si>
  <si>
    <t>393 Lebsack Knoll Unit 2</t>
  </si>
  <si>
    <t>ee96d0b5-a76a-6801-3112-b02b9b2f748e</t>
  </si>
  <si>
    <t>Lenita591</t>
  </si>
  <si>
    <t>Jacobs452</t>
  </si>
  <si>
    <t>547 Reichert Byway Suite 77</t>
  </si>
  <si>
    <t>d0e6f89b-cdcb-fd06-12d0-390311f2131c</t>
  </si>
  <si>
    <t>Edna186</t>
  </si>
  <si>
    <t>166 Willms Corner</t>
  </si>
  <si>
    <t>5d47b9ac-3f37-f400-1747-c6c6f92130aa</t>
  </si>
  <si>
    <t>Florencio463</t>
  </si>
  <si>
    <t>556 Bradtke Key Apt 67</t>
  </si>
  <si>
    <t>48138f76-9337-3964-dafd-6574ebf12f30</t>
  </si>
  <si>
    <t>Monte325</t>
  </si>
  <si>
    <t>Kihn564</t>
  </si>
  <si>
    <t>739 Simonis Trailer</t>
  </si>
  <si>
    <t>0034fe01-207f-275f-6b4b-821f7b0af044</t>
  </si>
  <si>
    <t>Sharice315</t>
  </si>
  <si>
    <t>641 Okuneva Dale Apt 41</t>
  </si>
  <si>
    <t>ca46c770-710c-6cfc-b02f-152f7d6a9de0</t>
  </si>
  <si>
    <t>182 Rosenbaum Lane Unit 91</t>
  </si>
  <si>
    <t>9a5b8764-35e9-5f79-22e5-d0602f339e1c</t>
  </si>
  <si>
    <t>Mauricio81</t>
  </si>
  <si>
    <t>Connelly992</t>
  </si>
  <si>
    <t>768 Homenick Gate Unit 55</t>
  </si>
  <si>
    <t>bb734572-25d6-0570-d009-61db909b44da</t>
  </si>
  <si>
    <t>668 Mann Track</t>
  </si>
  <si>
    <t>a8f1e6a4-9c0b-68ab-35a8-c511661d51d8</t>
  </si>
  <si>
    <t>Nigel915</t>
  </si>
  <si>
    <t>346 Zemlak Village Unit 16</t>
  </si>
  <si>
    <t>f840a8c9-4cf1-01b7-bcc6-7f2de28a1090</t>
  </si>
  <si>
    <t>Sharon747</t>
  </si>
  <si>
    <t>Schuppe920</t>
  </si>
  <si>
    <t>884 Wilkinson Extension Unit 90</t>
  </si>
  <si>
    <t>051e55f6-9b04-c10d-5d2a-b99dbdf9fda9</t>
  </si>
  <si>
    <t>Segovia340</t>
  </si>
  <si>
    <t>965 Brakus Landing</t>
  </si>
  <si>
    <t>24524043-5b78-4bcb-24f5-008183d2bf95</t>
  </si>
  <si>
    <t>Arlie183</t>
  </si>
  <si>
    <t>Waters156</t>
  </si>
  <si>
    <t>485 Rodriguez Village Apt 70</t>
  </si>
  <si>
    <t>789b7ac0-52e3-b624-87d3-08a865460d71</t>
  </si>
  <si>
    <t>Sherman440</t>
  </si>
  <si>
    <t>660 Shanahan Common Unit 96</t>
  </si>
  <si>
    <t>442dc617-c7f2-0513-15cd-c35c4efdba73</t>
  </si>
  <si>
    <t>Marcos263</t>
  </si>
  <si>
    <t>1066 Prohaska View</t>
  </si>
  <si>
    <t>fb77a596-afb5-6e06-8cb9-f9ca44b21b78</t>
  </si>
  <si>
    <t>Starla601</t>
  </si>
  <si>
    <t>662 Donnelly Spur</t>
  </si>
  <si>
    <t>18786b24-6a29-4c58-8a62-fbf6fafdab9c</t>
  </si>
  <si>
    <t>Zetta950</t>
  </si>
  <si>
    <t>926 Herzog Estate Apt 40</t>
  </si>
  <si>
    <t>8d1ee893-5f1b-bafc-9243-bc78df793343</t>
  </si>
  <si>
    <t>Maple925</t>
  </si>
  <si>
    <t>513 Steuber Rapid</t>
  </si>
  <si>
    <t>8a4c3440-d18f-b5fb-6770-920eed368df2</t>
  </si>
  <si>
    <t>Isabel214</t>
  </si>
  <si>
    <t>Campos61</t>
  </si>
  <si>
    <t>Alvarez441</t>
  </si>
  <si>
    <t>1030 Wisoky Way</t>
  </si>
  <si>
    <t>6b874229-4e70-557d-609b-305f79204bdf</t>
  </si>
  <si>
    <t>Georgeanna785</t>
  </si>
  <si>
    <t>1030 Runte Center Suite 12</t>
  </si>
  <si>
    <t>f21a9c39-abd4-4e57-575d-83e1c29484da</t>
  </si>
  <si>
    <t>Winona266</t>
  </si>
  <si>
    <t>678 Erdman Trail Suite 37</t>
  </si>
  <si>
    <t>Norwell</t>
  </si>
  <si>
    <t>5944783d-1a65-c137-4f42-d7806b66489d</t>
  </si>
  <si>
    <t>Anita473</t>
  </si>
  <si>
    <t>Moya426</t>
  </si>
  <si>
    <t>Casanova632</t>
  </si>
  <si>
    <t>945 Pagac Drive</t>
  </si>
  <si>
    <t>a0bd2490-4ca6-1205-c7e0-a2d7ae2c2b49</t>
  </si>
  <si>
    <t>Rex53</t>
  </si>
  <si>
    <t>Bosco882</t>
  </si>
  <si>
    <t>304 Kutch Meadow</t>
  </si>
  <si>
    <t>3689e378-98f6-c3f4-dcb5-ff2128f65221</t>
  </si>
  <si>
    <t>Tony646</t>
  </si>
  <si>
    <t>845 Brekke Quay</t>
  </si>
  <si>
    <t>1799f9c9-78a4-4821-364e-31e2c9a43a5b</t>
  </si>
  <si>
    <t>942 Stroman Grove Unit 86</t>
  </si>
  <si>
    <t>ede3ae85-72c9-2309-b072-30794c3e01c0</t>
  </si>
  <si>
    <t>Keren761</t>
  </si>
  <si>
    <t>Kuvalis369</t>
  </si>
  <si>
    <t>558 Rau Gate Apt 38</t>
  </si>
  <si>
    <t>a3e1bec5-f777-83cc-d0b9-a7259063617f</t>
  </si>
  <si>
    <t>443 Lind Village</t>
  </si>
  <si>
    <t>072ed90c-aeaf-099a-a10c-cfb468d37977</t>
  </si>
  <si>
    <t>Klara351</t>
  </si>
  <si>
    <t>840 Funk Loaf Suite 17</t>
  </si>
  <si>
    <t>965fd42a-8f09-2bf6-d047-c6039e390c5e</t>
  </si>
  <si>
    <t>781 Harvey Gateway Apt 4</t>
  </si>
  <si>
    <t>e4b1590f-aad7-aea2-ee4b-16ba5db0ce35</t>
  </si>
  <si>
    <t>Art115</t>
  </si>
  <si>
    <t>761 Borer Wynd</t>
  </si>
  <si>
    <t>323fb295-2d77-8e1d-8288-8f263f60c4b9</t>
  </si>
  <si>
    <t>Viola977</t>
  </si>
  <si>
    <t>642 Mohr Extension</t>
  </si>
  <si>
    <t>e4db68b2-824e-d8b9-6555-420854c16078</t>
  </si>
  <si>
    <t>Melania287</t>
  </si>
  <si>
    <t>Hackett68</t>
  </si>
  <si>
    <t>520 Prohaska Crossroad</t>
  </si>
  <si>
    <t>37c534cb-af56-727f-b4ec-ba91f53b7f14</t>
  </si>
  <si>
    <t>Jacinto644</t>
  </si>
  <si>
    <t>Lynch190</t>
  </si>
  <si>
    <t>754 Feeney Estate Suite 88</t>
  </si>
  <si>
    <t>72998151-b924-f8fd-4c02-45a4cfbb73ed</t>
  </si>
  <si>
    <t>Janine159</t>
  </si>
  <si>
    <t>753 Kilback Heights Suite 65</t>
  </si>
  <si>
    <t>cb7d7fc1-e1c9-71db-3ec6-35e3072e64dd</t>
  </si>
  <si>
    <t>Georgann131</t>
  </si>
  <si>
    <t>570 Treutel Pathway Suite 19</t>
  </si>
  <si>
    <t>97c4cfee-e860-e908-1797-8da4dc241ec4</t>
  </si>
  <si>
    <t>Celeste191</t>
  </si>
  <si>
    <t>923 Gottlieb Lane Suite 55</t>
  </si>
  <si>
    <t>f038296f-17bb-28ac-20b0-13438f286964</t>
  </si>
  <si>
    <t>Romeo514</t>
  </si>
  <si>
    <t>910 Kautzer Knoll</t>
  </si>
  <si>
    <t>e0d5ec6b-728f-ac09-4c4e-388bb59b7dd7</t>
  </si>
  <si>
    <t>491 Bauch Alley</t>
  </si>
  <si>
    <t>ba92a12a-97e2-59d1-3b8f-93767b92707b</t>
  </si>
  <si>
    <t>Jeanna557</t>
  </si>
  <si>
    <t>Mann644</t>
  </si>
  <si>
    <t>890 Morar Forge</t>
  </si>
  <si>
    <t>09acf4d1-62d0-3cb1-f123-fb09dbd28e60</t>
  </si>
  <si>
    <t>Gaston250</t>
  </si>
  <si>
    <t>Schneider199</t>
  </si>
  <si>
    <t>879 Koelpin Annex Unit 66</t>
  </si>
  <si>
    <t>bfb92693-49e7-7752-7a50-13d9fd9d3302</t>
  </si>
  <si>
    <t>Lenny728</t>
  </si>
  <si>
    <t>Conn188</t>
  </si>
  <si>
    <t>765 Kohler Brook Apt 46</t>
  </si>
  <si>
    <t>91eb9270-299b-8340-bfaa-f81b62d520d9</t>
  </si>
  <si>
    <t>Santiago500</t>
  </si>
  <si>
    <t>Langworth352</t>
  </si>
  <si>
    <t>974 Hagenes Gate Apt 4</t>
  </si>
  <si>
    <t>84c18563-b7cc-887b-23bd-ba8566a2b15a</t>
  </si>
  <si>
    <t>724 Treutel Dale</t>
  </si>
  <si>
    <t>cf4735be-de28-1f15-cd88-6a70fd1477cb</t>
  </si>
  <si>
    <t>327 Walsh Camp</t>
  </si>
  <si>
    <t>e0f9b98c-f983-cba1-9095-0e48d10f0195</t>
  </si>
  <si>
    <t>Russell422</t>
  </si>
  <si>
    <t>1075 Kuhic Neck Suite 9</t>
  </si>
  <si>
    <t>da77847d-3320-1280-d147-3d1d1199430b</t>
  </si>
  <si>
    <t>Lorenzo669</t>
  </si>
  <si>
    <t>655 Becker Grove</t>
  </si>
  <si>
    <t>b0631dd8-4549-afe5-0c03-3adbcde37e8c</t>
  </si>
  <si>
    <t>Eric487</t>
  </si>
  <si>
    <t>Feest103</t>
  </si>
  <si>
    <t>423 Wyman Green</t>
  </si>
  <si>
    <t>9b8ae606-5059-b3a6-19c7-c812901898bb</t>
  </si>
  <si>
    <t>ea9d6669-efc3-3c16-4f70-70cc1c1659d7</t>
  </si>
  <si>
    <t>Denae137</t>
  </si>
  <si>
    <t>300 Schultz Tunnel</t>
  </si>
  <si>
    <t>d027ce90-0be9-8099-389f-cfc468b53aea</t>
  </si>
  <si>
    <t>Jos√©3</t>
  </si>
  <si>
    <t>832 Metz Lock Unit 26</t>
  </si>
  <si>
    <t>9f021233-d200-606b-2bb3-3b8761424ac2</t>
  </si>
  <si>
    <t>988 Franecki Mill</t>
  </si>
  <si>
    <t>3e439b99-10ce-4bdb-5b8c-624f5664fb07</t>
  </si>
  <si>
    <t>Sherill945</t>
  </si>
  <si>
    <t>Collier206</t>
  </si>
  <si>
    <t>303 Abshire Neck Unit 98</t>
  </si>
  <si>
    <t>effa5529-9da5-05b0-d858-8a75dd77b350</t>
  </si>
  <si>
    <t>Pauletta164</t>
  </si>
  <si>
    <t>707 Fisher Quay Unit 68</t>
  </si>
  <si>
    <t>d644e248-1127-2a63-a494-c570f926ba06</t>
  </si>
  <si>
    <t>Margrett284</t>
  </si>
  <si>
    <t>711 Turcotte Path</t>
  </si>
  <si>
    <t>5e129b38-3d63-3692-2a53-c2b56f9d8af0</t>
  </si>
  <si>
    <t>Jolene291</t>
  </si>
  <si>
    <t>996 Baumbach Stravenue Suite 97</t>
  </si>
  <si>
    <t>05d01b8d-1f54-dad3-6b0d-af245e0d83ce</t>
  </si>
  <si>
    <t>Elma843</t>
  </si>
  <si>
    <t>392 Kilback Glen</t>
  </si>
  <si>
    <t>4f966eb8-d93f-fbfc-298e-8a90ebdeafbe</t>
  </si>
  <si>
    <t>Vilma125</t>
  </si>
  <si>
    <t>Hand679</t>
  </si>
  <si>
    <t>985 Sipes Wynd Unit 9</t>
  </si>
  <si>
    <t>54fd7a2c-dfb3-9d9c-d678-b23b8dd6292b</t>
  </si>
  <si>
    <t>Georgiana151</t>
  </si>
  <si>
    <t>445 Cruickshank Corner</t>
  </si>
  <si>
    <t>f7be7a15-e966-0b3e-f408-31cf2294f43d</t>
  </si>
  <si>
    <t>823 Hauck Way</t>
  </si>
  <si>
    <t>630e0faa-9d40-9d26-9b9a-6a4f6b1c120a</t>
  </si>
  <si>
    <t>Nell215</t>
  </si>
  <si>
    <t>1092 Monahan Drive Suite 47</t>
  </si>
  <si>
    <t>470e7dd9-9788-57f6-ee81-1e9acb075c1c</t>
  </si>
  <si>
    <t>Dion244</t>
  </si>
  <si>
    <t>595 Yost Trafficway Unit 28</t>
  </si>
  <si>
    <t>c1ac6ea2-b7a6-8bbb-2b2d-aaf5c118e0c6</t>
  </si>
  <si>
    <t>Buster609</t>
  </si>
  <si>
    <t>880 Schaefer Passage</t>
  </si>
  <si>
    <t>bb7d18c9-0765-63d5-f8b0-1199023c5e76</t>
  </si>
  <si>
    <t>Claudio955</t>
  </si>
  <si>
    <t>621 Lueilwitz Byway</t>
  </si>
  <si>
    <t>44a8958e-0db5-8b29-637a-c1af40b8e2e2</t>
  </si>
  <si>
    <t>Marc757</t>
  </si>
  <si>
    <t>830 Boyer Meadow</t>
  </si>
  <si>
    <t>14198630-bbb8-5460-80ca-f9b7dce23527</t>
  </si>
  <si>
    <t>Nathaniel596</t>
  </si>
  <si>
    <t>339 Leuschke Bay</t>
  </si>
  <si>
    <t>92b81954-19f4-79cf-11e5-cca9e471a524</t>
  </si>
  <si>
    <t>Juan88</t>
  </si>
  <si>
    <t>Gusikowski974</t>
  </si>
  <si>
    <t>831 Bosco Track Apt 43</t>
  </si>
  <si>
    <t>297df74b-5a13-2583-b4c0-83a4bc131806</t>
  </si>
  <si>
    <t>Hilton264</t>
  </si>
  <si>
    <t>9a94c800-6484-afe8-bd58-0c1b450ccf9f</t>
  </si>
  <si>
    <t>Cynthia180</t>
  </si>
  <si>
    <t>395 Wolf Bypass</t>
  </si>
  <si>
    <t>25369967-2190-01b9-ff98-d32525e3767b</t>
  </si>
  <si>
    <t>Jesus702</t>
  </si>
  <si>
    <t>934 Gutkowski Loaf</t>
  </si>
  <si>
    <t>cdf5486e-9522-d929-b2ed-30dd0e186fe5</t>
  </si>
  <si>
    <t>Mercedes82</t>
  </si>
  <si>
    <t>Ure√±a88</t>
  </si>
  <si>
    <t>722 Johnson Grove</t>
  </si>
  <si>
    <t>7d161e8a-faf5-361f-3d30-5a130df34dda</t>
  </si>
  <si>
    <t>Crystal2</t>
  </si>
  <si>
    <t>356 D'Amore Common</t>
  </si>
  <si>
    <t>67628117-f48c-435d-ff7e-f73463b0b169</t>
  </si>
  <si>
    <t>Richie600</t>
  </si>
  <si>
    <t>Stehr398</t>
  </si>
  <si>
    <t>280 Hamill Ranch Suite 47</t>
  </si>
  <si>
    <t>13eb71d4-0aba-a2c7-f00c-0371d8cbbd2d</t>
  </si>
  <si>
    <t>Elizebeth108</t>
  </si>
  <si>
    <t>356 Grimes Lodge Unit 57</t>
  </si>
  <si>
    <t>8dc7837e-65d3-a728-7fd6-cb1281847cb7</t>
  </si>
  <si>
    <t>Tinisha932</t>
  </si>
  <si>
    <t>251 Eichmann Promenade</t>
  </si>
  <si>
    <t>9816a4e0-01d6-29b7-5e94-b1fa1d2a77b3</t>
  </si>
  <si>
    <t>Shirlee202</t>
  </si>
  <si>
    <t>Reynolds644</t>
  </si>
  <si>
    <t>137 Powlowski Viaduct</t>
  </si>
  <si>
    <t>407dce01-5c73-329d-36fb-ef8829f23a36</t>
  </si>
  <si>
    <t>Paulette168</t>
  </si>
  <si>
    <t>773 Mosciski Gardens</t>
  </si>
  <si>
    <t>ae09e4d4-cf26-29db-fe4d-8f4fa2738e69</t>
  </si>
  <si>
    <t>Virgilio529</t>
  </si>
  <si>
    <t>104 Ritchie Ramp Apt 21</t>
  </si>
  <si>
    <t>cfad5cec-7809-7ba0-716b-5c892a4c3e9f</t>
  </si>
  <si>
    <t>474 Breitenberg Branch</t>
  </si>
  <si>
    <t>36412d54-5a49-0dc6-5bab-3749c92f79d9</t>
  </si>
  <si>
    <t>Denis399</t>
  </si>
  <si>
    <t>Wolff180</t>
  </si>
  <si>
    <t>1038 Dibbert Route</t>
  </si>
  <si>
    <t>015ecc1c-4488-c56d-92c3-c9c94fcf0514</t>
  </si>
  <si>
    <t>Lyndon118</t>
  </si>
  <si>
    <t>615 Von Trace</t>
  </si>
  <si>
    <t>4156dbc4-9dfc-5293-34d0-4a8506fa91fa</t>
  </si>
  <si>
    <t>Rick943</t>
  </si>
  <si>
    <t>1082 Thompson Trafficway Apt 39</t>
  </si>
  <si>
    <t>4341bd2f-4e83-c6aa-aec3-42eb441dce2d</t>
  </si>
  <si>
    <t>Olivera810</t>
  </si>
  <si>
    <t>859 Hackett Harbor</t>
  </si>
  <si>
    <t>d2faa913-d854-102f-7022-2c5d2de2c0ae</t>
  </si>
  <si>
    <t>Mohamed943</t>
  </si>
  <si>
    <t>581 Erdman Green Suite 37</t>
  </si>
  <si>
    <t>Winchester</t>
  </si>
  <si>
    <t>e68c5e1a-990f-c7d3-bda8-cf4774f4f480</t>
  </si>
  <si>
    <t>Elanor679</t>
  </si>
  <si>
    <t>Lehner980</t>
  </si>
  <si>
    <t>523 Emmerich Mill</t>
  </si>
  <si>
    <t>b8f2c8b3-01fd-540b-ac25-c59713ac8be1</t>
  </si>
  <si>
    <t>Norine97</t>
  </si>
  <si>
    <t>Klocko335</t>
  </si>
  <si>
    <t>982 Wisoky Terrace Suite 83</t>
  </si>
  <si>
    <t>de1f6a21-bdd3-0ccd-8a3c-b06e98a13cf2</t>
  </si>
  <si>
    <t>Lulu18</t>
  </si>
  <si>
    <t>932 Legros Glen</t>
  </si>
  <si>
    <t>9f51b7a3-7ce7-9e9f-113d-c021cac67c38</t>
  </si>
  <si>
    <t>Tomika243</t>
  </si>
  <si>
    <t>251 Becker Common Apt 35</t>
  </si>
  <si>
    <t>71da4401-2034-80cb-d797-ad90cee5649e</t>
  </si>
  <si>
    <t>Hilaria948</t>
  </si>
  <si>
    <t>126 Marvin Avenue Unit 70</t>
  </si>
  <si>
    <t>77b70fa9-0340-4592-aea8-ca7d439ed251</t>
  </si>
  <si>
    <t>Tommie457</t>
  </si>
  <si>
    <t>806 Heaney Lane</t>
  </si>
  <si>
    <t>b8a166f7-6866-0abc-2499-b63df9fc6623</t>
  </si>
  <si>
    <t>Pedroza523</t>
  </si>
  <si>
    <t>Garza151</t>
  </si>
  <si>
    <t>454 Fisher Avenue Apt 69</t>
  </si>
  <si>
    <t>929dc38f-b15f-0397-ab0c-77b0190f2632</t>
  </si>
  <si>
    <t>Tiny880</t>
  </si>
  <si>
    <t>510 Daniel Mission Unit 85</t>
  </si>
  <si>
    <t>c6b2ae50-d8d6-014f-bfff-27afbeb2e1e8</t>
  </si>
  <si>
    <t>Trent525</t>
  </si>
  <si>
    <t>909 Hills Lane</t>
  </si>
  <si>
    <t>6026d397-cb69-4ccb-8df9-6c9cb9e4ac1d</t>
  </si>
  <si>
    <t>366 Bailey Hollow Apt 4</t>
  </si>
  <si>
    <t>5a6a8021-4ba2-2ed5-9fb2-761a1278c259</t>
  </si>
  <si>
    <t>352 Hettinger View Apt 32</t>
  </si>
  <si>
    <t>f46eb57b-e1e2-938d-e985-e02c92183b1b</t>
  </si>
  <si>
    <t>My508</t>
  </si>
  <si>
    <t>376 Jacobi Corner</t>
  </si>
  <si>
    <t>0ae9e2d7-2f7f-a684-4ac0-c42d491a9708</t>
  </si>
  <si>
    <t>Elana101</t>
  </si>
  <si>
    <t>Pouros728</t>
  </si>
  <si>
    <t>Mitchell808</t>
  </si>
  <si>
    <t>220 Schaefer Approach</t>
  </si>
  <si>
    <t>f5022604-ad35-60e2-dd21-c66d4555fc26</t>
  </si>
  <si>
    <t>Kristie55</t>
  </si>
  <si>
    <t>Stracke611</t>
  </si>
  <si>
    <t>1088 Braun Dam</t>
  </si>
  <si>
    <t>9f97cbd6-59a0-3d07-c6ff-14e3b4b4fb4b</t>
  </si>
  <si>
    <t>Jeff859</t>
  </si>
  <si>
    <t>845 Herman Park Unit 72</t>
  </si>
  <si>
    <t>59814c0c-fdf8-c405-2007-83f9fa0bab85</t>
  </si>
  <si>
    <t>Saul605</t>
  </si>
  <si>
    <t>470 Bashirian Extension</t>
  </si>
  <si>
    <t>cd7897f6-bfb4-683e-030f-b2267855bc9b</t>
  </si>
  <si>
    <t>Jeffie441</t>
  </si>
  <si>
    <t>Kessler503</t>
  </si>
  <si>
    <t>953 Gislason Spur</t>
  </si>
  <si>
    <t>27ba919a-3f7c-0c4f-31f8-56932ab1ad93</t>
  </si>
  <si>
    <t>Joyce806</t>
  </si>
  <si>
    <t>O'Conner199</t>
  </si>
  <si>
    <t>652 Ferry Bypass</t>
  </si>
  <si>
    <t>a733bbc1-cbdf-992f-f1b7-bd230028fc4f</t>
  </si>
  <si>
    <t>Columbus656</t>
  </si>
  <si>
    <t>946 Bashirian Vale</t>
  </si>
  <si>
    <t>0af19d06-6f3a-443d-0ec1-ffb3847ed795</t>
  </si>
  <si>
    <t>Willetta882</t>
  </si>
  <si>
    <t>Abshire638</t>
  </si>
  <si>
    <t>570 Hoeger Station Unit 6</t>
  </si>
  <si>
    <t>6ae2b519-ebba-c1ab-5215-fd3ec73acb09</t>
  </si>
  <si>
    <t>Stokes453</t>
  </si>
  <si>
    <t>305 Daniel Fork Unit 63</t>
  </si>
  <si>
    <t>9c6aefb0-95b9-2c2c-7755-19f8bd594d2e</t>
  </si>
  <si>
    <t>Armanda758</t>
  </si>
  <si>
    <t>876 Ledner Dam</t>
  </si>
  <si>
    <t>895b5826-571e-0c37-c580-5453901ab7ec</t>
  </si>
  <si>
    <t>Ludivina884</t>
  </si>
  <si>
    <t>Gottlieb798</t>
  </si>
  <si>
    <t>283 Jacobs Terrace</t>
  </si>
  <si>
    <t>6312a5b7-fd30-81b7-3106-4250ab6010fa</t>
  </si>
  <si>
    <t>Lauri399</t>
  </si>
  <si>
    <t>DuBuque211</t>
  </si>
  <si>
    <t>152 Will Lane Unit 65</t>
  </si>
  <si>
    <t>ee0ee532-9104-7e59-2fea-837a1d2dd434</t>
  </si>
  <si>
    <t>Garfield38</t>
  </si>
  <si>
    <t>Block661</t>
  </si>
  <si>
    <t>581 Brekke Byway</t>
  </si>
  <si>
    <t>166e3d0d-77e4-14eb-4f9a-a38ba652e45e</t>
  </si>
  <si>
    <t>357 Kertzmann Mews</t>
  </si>
  <si>
    <t>b6cb264f-2268-2b6c-b2ff-a395c59227b9</t>
  </si>
  <si>
    <t>Esmeralda972</t>
  </si>
  <si>
    <t>Heller342</t>
  </si>
  <si>
    <t>650 O'Hara Alley Apt 68</t>
  </si>
  <si>
    <t>b026393d-260d-38be-f572-daddd70d16ce</t>
  </si>
  <si>
    <t>Rudolph554</t>
  </si>
  <si>
    <t>601 Tromp Trail</t>
  </si>
  <si>
    <t>01c497f8-aaf9-51d6-d6fd-6de9a5dad750</t>
  </si>
  <si>
    <t>Tapia475</t>
  </si>
  <si>
    <t>832 Dach Rue Apt 45</t>
  </si>
  <si>
    <t>69593e46-bac3-ecf0-a0cc-cc907ca5d6ff</t>
  </si>
  <si>
    <t>Enrique929</t>
  </si>
  <si>
    <t>Alcala54</t>
  </si>
  <si>
    <t>927 Rohan Esplanade Unit 57</t>
  </si>
  <si>
    <t>3b092a8e-8080-ff09-1f27-98d9f1cf9073</t>
  </si>
  <si>
    <t>Donn979</t>
  </si>
  <si>
    <t>Stoltenberg489</t>
  </si>
  <si>
    <t>268 Donnelly Lock Suite 52</t>
  </si>
  <si>
    <t>20a4bc24-6b69-2f5c-dc74-1df390cae25b</t>
  </si>
  <si>
    <t>Jaime666</t>
  </si>
  <si>
    <t>Nieto461</t>
  </si>
  <si>
    <t>908 Kohler Key Apt 53</t>
  </si>
  <si>
    <t>31d28b5d-a782-52ae-7b09-77c306369337</t>
  </si>
  <si>
    <t>Milton509</t>
  </si>
  <si>
    <t>Fisher429</t>
  </si>
  <si>
    <t>348 Cormier Trailer Apt 25</t>
  </si>
  <si>
    <t>8a5687ea-5c21-8e3c-ed0c-4414979865aa</t>
  </si>
  <si>
    <t>Bernie827</t>
  </si>
  <si>
    <t>825 Swift Pathway</t>
  </si>
  <si>
    <t>7c1c8f58-7e2d-12cd-bcdf-e5bd5b4afebc</t>
  </si>
  <si>
    <t>Hansen121</t>
  </si>
  <si>
    <t>619 Lesch Gate</t>
  </si>
  <si>
    <t>57b6f273-adff-e2af-89cd-9a2da1dcd108</t>
  </si>
  <si>
    <t>Faviola526</t>
  </si>
  <si>
    <t>Purdy2</t>
  </si>
  <si>
    <t>204 Lindgren Union</t>
  </si>
  <si>
    <t>3585571b-bf18-f747-7070-9b3f8767b7e0</t>
  </si>
  <si>
    <t>Roselle682</t>
  </si>
  <si>
    <t>890 Pfeffer Dam</t>
  </si>
  <si>
    <t>88f5ad06-de02-0b16-98a4-8c5b4f581e88</t>
  </si>
  <si>
    <t>Isaac321</t>
  </si>
  <si>
    <t>1093 West Haven</t>
  </si>
  <si>
    <t>eaf5cbcf-e704-4f14-5383-4e5003d90034</t>
  </si>
  <si>
    <t>Terresa418</t>
  </si>
  <si>
    <t>256 Hane Row</t>
  </si>
  <si>
    <t>d7a8d68e-bce6-ab6b-e8e6-781298866470</t>
  </si>
  <si>
    <t>Lerma517</t>
  </si>
  <si>
    <t>1058 Nader Bypass</t>
  </si>
  <si>
    <t>88986fec-6364-262e-37d4-e20ceb511166</t>
  </si>
  <si>
    <t>Merlin721</t>
  </si>
  <si>
    <t>257 Toy Dale</t>
  </si>
  <si>
    <t>2a7b693e-35e5-8f5a-2318-6ea990cdc5bb</t>
  </si>
  <si>
    <t>Renay451</t>
  </si>
  <si>
    <t>942 Kutch Trailer Suite 88</t>
  </si>
  <si>
    <t>5c3cf44b-e880-80ba-aca8-447c7180892c</t>
  </si>
  <si>
    <t>Hollie21</t>
  </si>
  <si>
    <t>492 Rempel Crossroad</t>
  </si>
  <si>
    <t>d43127f6-d92e-26d3-818c-5c44009c9485</t>
  </si>
  <si>
    <t>Kunze215</t>
  </si>
  <si>
    <t>785 Kohler Trafficway Apt 66</t>
  </si>
  <si>
    <t>3f17d805-d276-efc9-d4bd-feaa3fd66db9</t>
  </si>
  <si>
    <t>Junior695</t>
  </si>
  <si>
    <t>302 Morissette Boulevard Unit 75</t>
  </si>
  <si>
    <t>f9400f91-e17e-33e5-e8a9-9afb701391bf</t>
  </si>
  <si>
    <t>Rachele486</t>
  </si>
  <si>
    <t>Nitzsche158</t>
  </si>
  <si>
    <t>265 Maggio Dam</t>
  </si>
  <si>
    <t>7c90399e-695a-d60a-1345-1742346a300c</t>
  </si>
  <si>
    <t>Daugherty69</t>
  </si>
  <si>
    <t>696 Goodwin Light Unit 28</t>
  </si>
  <si>
    <t>1375a6a6-5638-8af1-dc4f-2aa58220d36d</t>
  </si>
  <si>
    <t>Treena759</t>
  </si>
  <si>
    <t>Williamson769</t>
  </si>
  <si>
    <t>307 Smith Skyway</t>
  </si>
  <si>
    <t>358775ff-7a45-d881-7a3d-e26b06732f1a</t>
  </si>
  <si>
    <t>Wm806</t>
  </si>
  <si>
    <t>871 Reichert Loaf</t>
  </si>
  <si>
    <t>afd5531f-cd97-82da-a305-ebe9a0847298</t>
  </si>
  <si>
    <t>Tuan998</t>
  </si>
  <si>
    <t>881 Powlowski Knoll Unit 35</t>
  </si>
  <si>
    <t>3013a2e6-4d66-d9fe-3446-a681a0f90d10</t>
  </si>
  <si>
    <t>Daren950</t>
  </si>
  <si>
    <t>376 Sawayn Forge Unit 28</t>
  </si>
  <si>
    <t>e8e6d03d-6ef5-0f95-5655-eb36ad1c602e</t>
  </si>
  <si>
    <t>Kenneth671</t>
  </si>
  <si>
    <t>414 Armstrong Manor</t>
  </si>
  <si>
    <t>9ff889c1-9f35-8e07-db4f-bb361dceb988</t>
  </si>
  <si>
    <t>Joel444</t>
  </si>
  <si>
    <t>542 Ritchie Rest</t>
  </si>
  <si>
    <t>c83e8f1b-8f35-5855-0d38-6ea6509ec619</t>
  </si>
  <si>
    <t>Ferdinand55</t>
  </si>
  <si>
    <t>Goodwin327</t>
  </si>
  <si>
    <t>1067 Zemlak Extension</t>
  </si>
  <si>
    <t>820298f1-efb6-5c82-67c7-a4e6e7965493</t>
  </si>
  <si>
    <t>Hildegard72</t>
  </si>
  <si>
    <t>Bauch723</t>
  </si>
  <si>
    <t>1017 Beier Throughway Apt 86</t>
  </si>
  <si>
    <t>d30d80ca-f88c-bbdc-e56b-f32be78738c3</t>
  </si>
  <si>
    <t>Littel644</t>
  </si>
  <si>
    <t>ac37d304-7eaf-6e1e-9267-0043892b88f1</t>
  </si>
  <si>
    <t>Carey440</t>
  </si>
  <si>
    <t>945 Herman Bypass Suite 15</t>
  </si>
  <si>
    <t>6565ba0d-dc8e-a49b-2b27-fcd6f4706acd</t>
  </si>
  <si>
    <t>MD</t>
  </si>
  <si>
    <t>353 Maggio Ville</t>
  </si>
  <si>
    <t>1479fdc7-1f9c-1058-3e83-91c45bb58db5</t>
  </si>
  <si>
    <t>Dani520</t>
  </si>
  <si>
    <t>684 Weissnat Union Apt 86</t>
  </si>
  <si>
    <t>231fea1e-4ab1-757c-4166-eb7bfd780007</t>
  </si>
  <si>
    <t>Ali918</t>
  </si>
  <si>
    <t>621 Harber Gate Apt 71</t>
  </si>
  <si>
    <t>2b12ef12-3dbb-7c36-5642-88c24407dfed</t>
  </si>
  <si>
    <t>Joya53</t>
  </si>
  <si>
    <t>Schimmel440</t>
  </si>
  <si>
    <t>881 Block Crossroad Apt 67</t>
  </si>
  <si>
    <t>a6997da1-705f-96f8-909b-c421ad97f928</t>
  </si>
  <si>
    <t>Dwight645</t>
  </si>
  <si>
    <t>365 Kilback Trafficway</t>
  </si>
  <si>
    <t>fc917948-c382-b79e-7bc4-ffbf74332ea3</t>
  </si>
  <si>
    <t>Rafael239</t>
  </si>
  <si>
    <t>Rico947</t>
  </si>
  <si>
    <t>155 Hermann Passage Unit 7</t>
  </si>
  <si>
    <t>eac598ed-3711-9948-a5fe-94c870222887</t>
  </si>
  <si>
    <t>777 Osinski Fork Unit 78</t>
  </si>
  <si>
    <t>134d6b6b-8c0c-920f-dbd6-fb1e02c936d9</t>
  </si>
  <si>
    <t>Chi716</t>
  </si>
  <si>
    <t>647 Toy Divide Suite 33</t>
  </si>
  <si>
    <t>3ae485ef-7db3-6ad4-5199-e315fafc1725</t>
  </si>
  <si>
    <t>504 Mueller Run</t>
  </si>
  <si>
    <t>4cc385a8-1c20-abbb-514e-b35936ac7c48</t>
  </si>
  <si>
    <t>Rogelio17</t>
  </si>
  <si>
    <t>986 Schmitt Well Unit 44</t>
  </si>
  <si>
    <t>fea2a30d-f7c9-eeb0-9aad-5c711f55574f</t>
  </si>
  <si>
    <t>Orpha286</t>
  </si>
  <si>
    <t>386 Moen Fort</t>
  </si>
  <si>
    <t>98ecd9c7-d248-3a23-0486-5e9cf247cdff</t>
  </si>
  <si>
    <t>Francina926</t>
  </si>
  <si>
    <t>1078 Mraz Manor Suite 60</t>
  </si>
  <si>
    <t>ec8baf4e-2197-8119-f8d4-2fa6547e84b3</t>
  </si>
  <si>
    <t>Nery414</t>
  </si>
  <si>
    <t>MacGyver246</t>
  </si>
  <si>
    <t>754 Bartell Road</t>
  </si>
  <si>
    <t>ec7cb2f5-7af5-86c0-4c41-ecf7f0d85952</t>
  </si>
  <si>
    <t>Noreen211</t>
  </si>
  <si>
    <t>Kuphal363</t>
  </si>
  <si>
    <t>1037 Windler Stravenue Suite 61</t>
  </si>
  <si>
    <t>38d06ba3-8410-0eb4-fbf8-d223e590bdee</t>
  </si>
  <si>
    <t>176 White Burg</t>
  </si>
  <si>
    <t>eafaabe5-1c4e-4a68-08c3-7c6252db7b43</t>
  </si>
  <si>
    <t>Eliana466</t>
  </si>
  <si>
    <t>410 Deckow Crossroad Apt 27</t>
  </si>
  <si>
    <t>26136855-fd32-a9cf-17d6-5eebf49bb81a</t>
  </si>
  <si>
    <t>Shamika26</t>
  </si>
  <si>
    <t>479 Gerlach Row Suite 86</t>
  </si>
  <si>
    <t>78979052-1a17-be9a-49b0-6dea844124da</t>
  </si>
  <si>
    <t>Blanca837</t>
  </si>
  <si>
    <t>129 Stark Annex Apt 4</t>
  </si>
  <si>
    <t>e2d8e1ed-6f63-54e2-d14e-8346799e92ef</t>
  </si>
  <si>
    <t>Roscoe437</t>
  </si>
  <si>
    <t>1081 Stehr Lock Apt 4</t>
  </si>
  <si>
    <t>a4f6f1be-369c-7ef8-8258-bddecd3af1b4</t>
  </si>
  <si>
    <t>Charlyn749</t>
  </si>
  <si>
    <t>98fd0864-1d9e-2a75-4c89-f09e8dbfa195</t>
  </si>
  <si>
    <t>Tiffany303</t>
  </si>
  <si>
    <t>705 Wolf Row</t>
  </si>
  <si>
    <t>a40ec84a-0f89-f0e7-dfe1-0a3ad3e0f1f6</t>
  </si>
  <si>
    <t>Kurt412</t>
  </si>
  <si>
    <t>523 Turcotte Lodge</t>
  </si>
  <si>
    <t>9fe84837-0719-ab5e-c410-7c91a186caf6</t>
  </si>
  <si>
    <t>Kayla528</t>
  </si>
  <si>
    <t>813 Krajcik Terrace Suite 29</t>
  </si>
  <si>
    <t>51068860-7e91-95ec-0214-0dc5abb284cd</t>
  </si>
  <si>
    <t>Rina274</t>
  </si>
  <si>
    <t>Tremblay80</t>
  </si>
  <si>
    <t>553 Wilderman Skyway</t>
  </si>
  <si>
    <t>f39ec5de-b029-c6d4-2738-696ecab81a79</t>
  </si>
  <si>
    <t>224 Schiller Path</t>
  </si>
  <si>
    <t>a71dfd96-20a5-1382-b747-7ece9bf77297</t>
  </si>
  <si>
    <t>155 Bogan Light</t>
  </si>
  <si>
    <t>e343f657-1eeb-e7c8-a831-4898b626e73a</t>
  </si>
  <si>
    <t>N√°jera755</t>
  </si>
  <si>
    <t>285 Hettinger Annex</t>
  </si>
  <si>
    <t>218356e6-3937-01a9-bf69-4712a1e37880</t>
  </si>
  <si>
    <t>Stephany248</t>
  </si>
  <si>
    <t>382 Collins Light</t>
  </si>
  <si>
    <t>b39fb52a-284f-6c91-1b8b-690b2a2373a5</t>
  </si>
  <si>
    <t>Sherly665</t>
  </si>
  <si>
    <t>Spencer878</t>
  </si>
  <si>
    <t>1072 O'Connell Glen</t>
  </si>
  <si>
    <t>c9b3e7d1-3619-d20f-00c8-f4664ba8048e</t>
  </si>
  <si>
    <t>Duane703</t>
  </si>
  <si>
    <t>615 Crona Route</t>
  </si>
  <si>
    <t>1f118c14-433b-b0ee-8771-fc8e2602af63</t>
  </si>
  <si>
    <t>Jeannette562</t>
  </si>
  <si>
    <t>575 Miller Trail</t>
  </si>
  <si>
    <t>efc88338-99b1-0adf-5454-ee4ba87267e3</t>
  </si>
  <si>
    <t>Angelia425</t>
  </si>
  <si>
    <t>353 Schaden Rue</t>
  </si>
  <si>
    <t>19ef49c6-8540-6309-4dec-524ee697e943</t>
  </si>
  <si>
    <t>Donovan745</t>
  </si>
  <si>
    <t>1059 Hickle Manor Suite 61</t>
  </si>
  <si>
    <t>e3eeac06-7f9d-8e95-5cce-2dea6641f469</t>
  </si>
  <si>
    <t>Josiah310</t>
  </si>
  <si>
    <t>915 Veum Parade Apt 45</t>
  </si>
  <si>
    <t>a00b9627-98b5-1f4c-b014-5793702cc75e</t>
  </si>
  <si>
    <t>Ponce361</t>
  </si>
  <si>
    <t>122 Hegmann Mall Unit 61</t>
  </si>
  <si>
    <t>e06e3a39-db6d-460a-d900-4fedf5f7900a</t>
  </si>
  <si>
    <t>Aretha897</t>
  </si>
  <si>
    <t>342 Shanahan Estate</t>
  </si>
  <si>
    <t>fb6f2c13-5402-0e06-23e7-b8f93d7f7ad4</t>
  </si>
  <si>
    <t>Michael441</t>
  </si>
  <si>
    <t>Leffler128</t>
  </si>
  <si>
    <t>229 Kozey Meadow</t>
  </si>
  <si>
    <t>8e8248f7-0d29-2206-a31e-ad831822f743</t>
  </si>
  <si>
    <t>Lauran65</t>
  </si>
  <si>
    <t>836 Lakin Viaduct</t>
  </si>
  <si>
    <t>774d9246-5935-cb07-876a-ab106699ac21</t>
  </si>
  <si>
    <t>Rodney21</t>
  </si>
  <si>
    <t>1004 Nienow Passage</t>
  </si>
  <si>
    <t>124708bf-0f78-e8a7-bcc9-a2dbbe22b05e</t>
  </si>
  <si>
    <t>Alison204</t>
  </si>
  <si>
    <t>626 Ebert Village Suite 16</t>
  </si>
  <si>
    <t>9928fc0c-85b6-319d-f9cb-ab465c34bcdf</t>
  </si>
  <si>
    <t>Vern731</t>
  </si>
  <si>
    <t>Schmeler639</t>
  </si>
  <si>
    <t>561 West Heights Apt 47</t>
  </si>
  <si>
    <t>010ff9c1-564b-6e32-09f4-29cb4224bba9</t>
  </si>
  <si>
    <t>Margarito178</t>
  </si>
  <si>
    <t>Berge125</t>
  </si>
  <si>
    <t>540 Romaguera Gate</t>
  </si>
  <si>
    <t>283af64b-5b12-f971-6129-f638491a4a5b</t>
  </si>
  <si>
    <t>729 Wunsch Trafficway</t>
  </si>
  <si>
    <t>379ec7a4-4c0e-79cd-7945-610f3185a866</t>
  </si>
  <si>
    <t>Lincoln623</t>
  </si>
  <si>
    <t>431 Hahn Course</t>
  </si>
  <si>
    <t>4753add3-97f2-4389-8f96-2ed778db45c5</t>
  </si>
  <si>
    <t>Rodrigo242</t>
  </si>
  <si>
    <t>Saucedo620</t>
  </si>
  <si>
    <t>510 Herzog Byway Unit 84</t>
  </si>
  <si>
    <t>095f27e6-5343-895f-cdd1-670ffeb7eb13</t>
  </si>
  <si>
    <t>Zambrano764</t>
  </si>
  <si>
    <t>1047 Lowe Brook Unit 63</t>
  </si>
  <si>
    <t>e8f13591-5d92-0b18-e0f1-2faa6c6f9bc3</t>
  </si>
  <si>
    <t>Williemae619</t>
  </si>
  <si>
    <t>Blick895</t>
  </si>
  <si>
    <t>806 Jacobson Divide</t>
  </si>
  <si>
    <t>74f91c28-2811-67b8-8828-201f0e125dd5</t>
  </si>
  <si>
    <t>Reinaldo138</t>
  </si>
  <si>
    <t>890 O'Conner Burg</t>
  </si>
  <si>
    <t>b8b74dd9-cda7-ef0c-fa41-11370e3e1c71</t>
  </si>
  <si>
    <t>Stephen891</t>
  </si>
  <si>
    <t>257 Kohler Byway Unit 14</t>
  </si>
  <si>
    <t>a7e9f7e3-756f-a616-0ca2-e7386e3b1719</t>
  </si>
  <si>
    <t>Grover559</t>
  </si>
  <si>
    <t>44d8a50d-250d-092f-b58d-3292e3e24891</t>
  </si>
  <si>
    <t>Shelby741</t>
  </si>
  <si>
    <t>935 D'Amore Estate Unit 86</t>
  </si>
  <si>
    <t>7e02e5cb-07fe-af25-da5e-6b32b2340b4c</t>
  </si>
  <si>
    <t>Tresa661</t>
  </si>
  <si>
    <t>201 Reichert Village</t>
  </si>
  <si>
    <t>df2da558-d276-40cb-eb61-625cf617935d</t>
  </si>
  <si>
    <t>Vernita491</t>
  </si>
  <si>
    <t>Gerlach374</t>
  </si>
  <si>
    <t>373 Barrows Bridge</t>
  </si>
  <si>
    <t>be46e222-cfa4-3658-5fdd-cd57faad3ff4</t>
  </si>
  <si>
    <t>143 Klocko Rapid</t>
  </si>
  <si>
    <t>11901ea9-e6ef-852d-7f87-77d91aa2c472</t>
  </si>
  <si>
    <t>9ab5c104-67a5-e236-184c-11eb28d0b61e</t>
  </si>
  <si>
    <t>842 Fahey Trace</t>
  </si>
  <si>
    <t>59dff29d-f177-6a8c-2693-c78f8e52995f</t>
  </si>
  <si>
    <t>Jessie665</t>
  </si>
  <si>
    <t>441 Orn Rapid</t>
  </si>
  <si>
    <t>2d8fd2b9-e54b-42fd-05e9-58aa625eabeb</t>
  </si>
  <si>
    <t>222 O'Reilly Highlands Apt 26</t>
  </si>
  <si>
    <t>fd035775-ec53-2c46-6d8e-2dff6cb501c8</t>
  </si>
  <si>
    <t>Horacio317</t>
  </si>
  <si>
    <t>1070 Conroy Alley</t>
  </si>
  <si>
    <t>63ebbeb6-3160-da00-76a3-11888839703a</t>
  </si>
  <si>
    <t>Lou594</t>
  </si>
  <si>
    <t>1053 Witting Overpass</t>
  </si>
  <si>
    <t>213cca85-3d61-1b76-5287-f1e0a40fb2a7</t>
  </si>
  <si>
    <t>320 Schultz Corner</t>
  </si>
  <si>
    <t>f998d76d-47dd-4de5-c4b8-49e2ad47fe88</t>
  </si>
  <si>
    <t>Olivia294</t>
  </si>
  <si>
    <t>Vigil207</t>
  </si>
  <si>
    <t>571 Hammes Village</t>
  </si>
  <si>
    <t>9b7cfa36-1dda-ce55-7c2a-a9a332a5777b</t>
  </si>
  <si>
    <t>Dewey930</t>
  </si>
  <si>
    <t>Parisian75</t>
  </si>
  <si>
    <t>438 Wilderman Knoll</t>
  </si>
  <si>
    <t>f27f268b-185d-a61e-d4e1-79ca18f48346</t>
  </si>
  <si>
    <t>Jos√© Luis472</t>
  </si>
  <si>
    <t>Ledesma253</t>
  </si>
  <si>
    <t>502 Gaylord Spur Unit 48</t>
  </si>
  <si>
    <t>85fa4579-42ef-8482-fc18-3ad094a10de2</t>
  </si>
  <si>
    <t>Scot349</t>
  </si>
  <si>
    <t>701 Kub Ramp Apt 93</t>
  </si>
  <si>
    <t>1fe2ce44-c952-eccf-c2dd-c2e652fc64b4</t>
  </si>
  <si>
    <t>Tasia358</t>
  </si>
  <si>
    <t>643 Mosciski Harbor</t>
  </si>
  <si>
    <t>55ae23ff-e1b5-2722-0304-85667b3dad8b</t>
  </si>
  <si>
    <t>Tayna279</t>
  </si>
  <si>
    <t>903 Schmidt Wynd</t>
  </si>
  <si>
    <t>1c108ed8-584c-711e-723a-37239da0981b</t>
  </si>
  <si>
    <t>Jennie425</t>
  </si>
  <si>
    <t>712 Hermiston Club Unit 25</t>
  </si>
  <si>
    <t>4d4b170a-87fe-5f0d-4711-32e6e2919e9e</t>
  </si>
  <si>
    <t>Eleanora667</t>
  </si>
  <si>
    <t>393 Mertz Port Suite 90</t>
  </si>
  <si>
    <t>4d4ec49d-094d-5c29-760c-84079953ef4b</t>
  </si>
  <si>
    <t>Jonathon205</t>
  </si>
  <si>
    <t>122 Kovacek Route</t>
  </si>
  <si>
    <t>787ffa08-33b8-3bac-1805-8d164ed52b88</t>
  </si>
  <si>
    <t>Miguel815</t>
  </si>
  <si>
    <t>Manzanares924</t>
  </si>
  <si>
    <t>280 Hansen Gate Unit 43</t>
  </si>
  <si>
    <t>54fa6047-1c9b-160e-5de5-740e143b28fe</t>
  </si>
  <si>
    <t>Vashti163</t>
  </si>
  <si>
    <t>Bins636</t>
  </si>
  <si>
    <t>317 Beier Fort</t>
  </si>
  <si>
    <t>676fc84c-dac1-b821-13f4-453ade195e19</t>
  </si>
  <si>
    <t>Dorcas534</t>
  </si>
  <si>
    <t>318 Leffler Gateway Suite 82</t>
  </si>
  <si>
    <t>c433d427-f13e-7a0a-0568-6bf825b74cd1</t>
  </si>
  <si>
    <t>Jan231</t>
  </si>
  <si>
    <t>925 Legros Parade</t>
  </si>
  <si>
    <t>a0d9ed6a-c0c7-e7d8-e31a-866728978f1f</t>
  </si>
  <si>
    <t>870 Wiza Orchard Suite 30</t>
  </si>
  <si>
    <t>93b6971a-86b0-5d2b-9831-8d11a2295988</t>
  </si>
  <si>
    <t>872 Kuphal Route</t>
  </si>
  <si>
    <t>fc42c38d-eb59-0c75-ca65-d8a3fa348f36</t>
  </si>
  <si>
    <t>Claud279</t>
  </si>
  <si>
    <t>809 Doyle Flat</t>
  </si>
  <si>
    <t>df02562a-4b08-41a7-3db7-d50f232164aa</t>
  </si>
  <si>
    <t>Marg761</t>
  </si>
  <si>
    <t>West559</t>
  </si>
  <si>
    <t>966 Powlowski Lane</t>
  </si>
  <si>
    <t>2daa6180-c38d-f9f1-1893-d0c0d40f57ce</t>
  </si>
  <si>
    <t>782 Bradtke Terrace</t>
  </si>
  <si>
    <t>46d8a638-ea69-331f-8b8e-003addae311c</t>
  </si>
  <si>
    <t>Herma433</t>
  </si>
  <si>
    <t>343 Lockman Dam</t>
  </si>
  <si>
    <t>6028f00f-dc23-ac7f-f688-fe9fb412095d</t>
  </si>
  <si>
    <t>493 Rice Ranch</t>
  </si>
  <si>
    <t>5950001c-1150-8823-389d-050cf998e792</t>
  </si>
  <si>
    <t>Venita81</t>
  </si>
  <si>
    <t>140 Lind Mill Suite 21</t>
  </si>
  <si>
    <t>0ce49233-2b01-ef26-e9d9-036950db4586</t>
  </si>
  <si>
    <t>Jermaine675</t>
  </si>
  <si>
    <t>540 Hudson Esplanade Apt 61</t>
  </si>
  <si>
    <t>3ed58986-6853-12d0-9c13-04b85de570d1</t>
  </si>
  <si>
    <t>Ben667</t>
  </si>
  <si>
    <t>1039 Zemlak Meadow</t>
  </si>
  <si>
    <t>0ce02b8e-bb05-13f4-4d54-202f8418673f</t>
  </si>
  <si>
    <t>Corey514</t>
  </si>
  <si>
    <t>710 Barton Tunnel</t>
  </si>
  <si>
    <t>8b52237a-caae-9cd6-002b-5e3c343b1f00</t>
  </si>
  <si>
    <t>Giovanni385</t>
  </si>
  <si>
    <t>270 Rice Burg</t>
  </si>
  <si>
    <t>515381f8-e24c-b579-8184-b868e6062dbe</t>
  </si>
  <si>
    <t>Joie561</t>
  </si>
  <si>
    <t>750 Oberbrunner Run Suite 43</t>
  </si>
  <si>
    <t>47019c19-45f4-6d5d-b54a-34e61e8aa321</t>
  </si>
  <si>
    <t>Marylyn194</t>
  </si>
  <si>
    <t>840 Terry Parade</t>
  </si>
  <si>
    <t>0a170c59-c745-cf8b-d832-ba6a1ea0417c</t>
  </si>
  <si>
    <t>Jaqueline846</t>
  </si>
  <si>
    <t>125 Hauck Glen Unit 46</t>
  </si>
  <si>
    <t>51085ead-b5c8-2a98-9dab-6cbb3ec2208c</t>
  </si>
  <si>
    <t>Stan246</t>
  </si>
  <si>
    <t>Zboncak558</t>
  </si>
  <si>
    <t>624 Stoltenberg Spur</t>
  </si>
  <si>
    <t>e2a89dff-75f1-0f59-2c9c-4bd6efcbcc23</t>
  </si>
  <si>
    <t>Brandee895</t>
  </si>
  <si>
    <t>709 Littel Rest Apt 55</t>
  </si>
  <si>
    <t>24b0ed82-881c-f7f3-cc32-3ab2faabecbf</t>
  </si>
  <si>
    <t>Miguel √Ångel46</t>
  </si>
  <si>
    <t>367 Raynor Parade Suite 42</t>
  </si>
  <si>
    <t>ea365959-6902-a5c6-f713-a4992cd9a5f4</t>
  </si>
  <si>
    <t>Wanetta360</t>
  </si>
  <si>
    <t>928 Dibbert Parade Suite 57</t>
  </si>
  <si>
    <t>01274098-150f-8211-6150-29f2a2da266c</t>
  </si>
  <si>
    <t>Corrin41</t>
  </si>
  <si>
    <t>294 Hegmann Branch Suite 96</t>
  </si>
  <si>
    <t>76fc84f9-dd3d-18d7-e8a9-6203c3172f8b</t>
  </si>
  <si>
    <t>Maryanne663</t>
  </si>
  <si>
    <t>Cormier289</t>
  </si>
  <si>
    <t>470 Kreiger Highlands</t>
  </si>
  <si>
    <t>14f63f0d-c6fd-de06-05ab-81f3fed8c7d1</t>
  </si>
  <si>
    <t>Roy364</t>
  </si>
  <si>
    <t>Rohan584</t>
  </si>
  <si>
    <t>1052 Friesen Junction</t>
  </si>
  <si>
    <t>31e8222a-372c-279f-0155-2b188e653fa8</t>
  </si>
  <si>
    <t>Ignacio928</t>
  </si>
  <si>
    <t>911 Corkery Trace Suite 96</t>
  </si>
  <si>
    <t>bdc8c851-5ad5-fbec-5a31-f91575c1b73b</t>
  </si>
  <si>
    <t>318 Goldner Drive</t>
  </si>
  <si>
    <t>59eaa628-f1d9-e83a-b0e0-708228fc3715</t>
  </si>
  <si>
    <t>1020 Marquardt Well Unit 98</t>
  </si>
  <si>
    <t>0ec939a0-559c-7bc9-db9c-a7feae58634a</t>
  </si>
  <si>
    <t>305 Marvin Parade Apt 86</t>
  </si>
  <si>
    <t>9377400d-3ac8-3bee-44de-4517fc236f03</t>
  </si>
  <si>
    <t>Balistreri607</t>
  </si>
  <si>
    <t>1043 Bins Burg</t>
  </si>
  <si>
    <t>5d082cf5-b854-6cd7-e749-2678c96bec41</t>
  </si>
  <si>
    <t>Walton167</t>
  </si>
  <si>
    <t>682 Harris Approach</t>
  </si>
  <si>
    <t>817efce8-3d2a-48a1-6d79-8505d24df078</t>
  </si>
  <si>
    <t>666 Ruecker Gate Unit 93</t>
  </si>
  <si>
    <t>adc39fae-f5c1-a541-f6b6-32cd5ecde637</t>
  </si>
  <si>
    <t>Madge238</t>
  </si>
  <si>
    <t>Denesik803</t>
  </si>
  <si>
    <t>134 Smitham Esplanade Unit 57</t>
  </si>
  <si>
    <t>55755f3f-ae6a-00fb-c58a-246074c8b798</t>
  </si>
  <si>
    <t>Luciano237</t>
  </si>
  <si>
    <t>738 Kessler Ranch Apt 10</t>
  </si>
  <si>
    <t>6caff51c-a94b-11c1-5e8f-0e63d9dc4799</t>
  </si>
  <si>
    <t>Tyler508</t>
  </si>
  <si>
    <t>489 Rippin Mall</t>
  </si>
  <si>
    <t>73babadf-5b2b-fee7-189e-6f41ff213e01</t>
  </si>
  <si>
    <t>Marianne327</t>
  </si>
  <si>
    <t>760 Klein Rue Apt 38</t>
  </si>
  <si>
    <t>1712d26d-822d-1e3a-2267-0a9dba31d7c8</t>
  </si>
  <si>
    <t>Kimberly627</t>
  </si>
  <si>
    <t>182 Smith Drive Unit 54</t>
  </si>
  <si>
    <t>6bded11b-a3c4-efd2-c8fc-e73efdf28b9a</t>
  </si>
  <si>
    <t>Clinton763</t>
  </si>
  <si>
    <t>503 Gorczany Neck</t>
  </si>
  <si>
    <t>Belmont</t>
  </si>
  <si>
    <t>9e3bbe3c-618b-bca0-16dc-aa4eb3c7aa0e</t>
  </si>
  <si>
    <t>Erwin847</t>
  </si>
  <si>
    <t>869 O'Keefe Vale Apt 16</t>
  </si>
  <si>
    <t>0d8ca926-d721-32c7-b7e4-e2770f45f4ab</t>
  </si>
  <si>
    <t>Mee229</t>
  </si>
  <si>
    <t>672 Purdy Boulevard Unit 73</t>
  </si>
  <si>
    <t>13b6b204-43fd-39a0-68a2-96d5023a268a</t>
  </si>
  <si>
    <t>Carrasquillo418</t>
  </si>
  <si>
    <t>371 Cruickshank Key</t>
  </si>
  <si>
    <t>6a377869-21cd-94d2-395d-155b999f4eac</t>
  </si>
  <si>
    <t>Marcelene872</t>
  </si>
  <si>
    <t>818 Koss Key Suite 64</t>
  </si>
  <si>
    <t>6a1e509d-e141-cbb7-e321-3485a82517e1</t>
  </si>
  <si>
    <t>Sang383</t>
  </si>
  <si>
    <t>1093 Kassulke Wall Unit 49</t>
  </si>
  <si>
    <t>9b639026-ccab-f2fb-f875-ba81d16c1220</t>
  </si>
  <si>
    <t>Jerald662</t>
  </si>
  <si>
    <t>155 Corkery Run Unit 75</t>
  </si>
  <si>
    <t>7dc160d1-5a1f-e4ff-3fe0-d2692cd600c2</t>
  </si>
  <si>
    <t>Kayleen757</t>
  </si>
  <si>
    <t>Lemke654</t>
  </si>
  <si>
    <t>542 Jenkins Walk</t>
  </si>
  <si>
    <t>North Scituate</t>
  </si>
  <si>
    <t>4b809eb5-7473-e21e-fe9f-3684987d8654</t>
  </si>
  <si>
    <t>Marquis364</t>
  </si>
  <si>
    <t>1065 Botsford Station Suite 84</t>
  </si>
  <si>
    <t>1c619a14-8489-3f35-86f9-546051689805</t>
  </si>
  <si>
    <t>Clementine778</t>
  </si>
  <si>
    <t>Fritsch593</t>
  </si>
  <si>
    <t>Hickle134</t>
  </si>
  <si>
    <t>1069 Hand Lane Apt 17</t>
  </si>
  <si>
    <t>f95b336a-ec12-455f-b118-7c7ccc965806</t>
  </si>
  <si>
    <t>Ha329</t>
  </si>
  <si>
    <t>1079 Kihn Road Unit 44</t>
  </si>
  <si>
    <t>5b3b9db9-ce5d-71bf-9ee5-ea607c4172e8</t>
  </si>
  <si>
    <t>Howard613</t>
  </si>
  <si>
    <t>1019 Hettinger Grove</t>
  </si>
  <si>
    <t>b9516761-8142-21ea-7606-90e6379b6b3b</t>
  </si>
  <si>
    <t>Willms744</t>
  </si>
  <si>
    <t>728 Kunde Common</t>
  </si>
  <si>
    <t>46d8cf44-3ed3-c7b0-bca7-7f3ffd83b8df</t>
  </si>
  <si>
    <t>Jeremy766</t>
  </si>
  <si>
    <t>649 Lemke Rapid</t>
  </si>
  <si>
    <t>f3979e92-6b6c-67a0-aed9-6e07072cfaa6</t>
  </si>
  <si>
    <t>124 Pagac Common Apt 54</t>
  </si>
  <si>
    <t>6cecb0ba-554a-342b-2054-8470fe9a8556</t>
  </si>
  <si>
    <t>Dale454</t>
  </si>
  <si>
    <t>931 Corwin Spur Apt 76</t>
  </si>
  <si>
    <t>a31f5105-476f-b129-fb9a-514cf45a34ac</t>
  </si>
  <si>
    <t>Jamey282</t>
  </si>
  <si>
    <t>395 Watsica Path Unit 76</t>
  </si>
  <si>
    <t>40f677b5-b9e8-13f1-df61-60a3003c93f9</t>
  </si>
  <si>
    <t>Hassan290</t>
  </si>
  <si>
    <t>684 Orn Lodge Suite 90</t>
  </si>
  <si>
    <t>e718d8a1-35ec-b9d4-0e93-54690f0c361d</t>
  </si>
  <si>
    <t>Joey457</t>
  </si>
  <si>
    <t>1002 Brakus Wynd</t>
  </si>
  <si>
    <t>a093d314-f2b8-be7e-e20b-1a9229aedd7c</t>
  </si>
  <si>
    <t>Felicita351</t>
  </si>
  <si>
    <t>377 Crist Haven</t>
  </si>
  <si>
    <t>bdf4f848-3365-b0bf-e179-4bb1ba9e86f3</t>
  </si>
  <si>
    <t>Lucio648</t>
  </si>
  <si>
    <t>797 Hodkiewicz Pathway Apt 79</t>
  </si>
  <si>
    <t>414982b9-1a0b-1c7c-9dd1-00fca01a4ade</t>
  </si>
  <si>
    <t>Caren429</t>
  </si>
  <si>
    <t>218 Hane Trafficway</t>
  </si>
  <si>
    <t>1b444e26-f29f-bcce-31dc-6f9b7c70a840</t>
  </si>
  <si>
    <t>370fa5c5-3ef3-b549-600c-3fd4cee3b400</t>
  </si>
  <si>
    <t>Daphne852</t>
  </si>
  <si>
    <t>Russel238</t>
  </si>
  <si>
    <t>919 Grant Rapid</t>
  </si>
  <si>
    <t>3a8d5181-bb73-337d-f8cb-ea19f1c1b561</t>
  </si>
  <si>
    <t>Estrella224</t>
  </si>
  <si>
    <t>Homenick806</t>
  </si>
  <si>
    <t>705 Yundt Terrace Unit 47</t>
  </si>
  <si>
    <t>9a2538bc-9b43-6135-ed36-34c496cc0f32</t>
  </si>
  <si>
    <t>Jimmie93</t>
  </si>
  <si>
    <t>601 Steuber Orchard</t>
  </si>
  <si>
    <t>a1a14aea-af43-1eec-bb7b-e7ca6ebc569b</t>
  </si>
  <si>
    <t>Alvin56</t>
  </si>
  <si>
    <t>a96d5031-46d5-e3f6-ec67-81f8edd48aa8</t>
  </si>
  <si>
    <t>Spring819</t>
  </si>
  <si>
    <t>Crooks415</t>
  </si>
  <si>
    <t>669 Ledner Dam</t>
  </si>
  <si>
    <t>86342b67-9b17-8d78-68de-897e77b01385</t>
  </si>
  <si>
    <t>Stefani254</t>
  </si>
  <si>
    <t>131 Ankunding Avenue</t>
  </si>
  <si>
    <t>866dec23-533f-f010-2812-378c0578c8d5</t>
  </si>
  <si>
    <t>Abrego412</t>
  </si>
  <si>
    <t>1068 Mraz Alley Apt 90</t>
  </si>
  <si>
    <t>0226f105-2572-1c6f-15f0-1aa0438e40d0</t>
  </si>
  <si>
    <t>Phylis163</t>
  </si>
  <si>
    <t>102 Kshlerin Street Apt 94</t>
  </si>
  <si>
    <t>96ddc459-c0e2-a963-d3b0-be051ee15819</t>
  </si>
  <si>
    <t>455 Hoppe Divide</t>
  </si>
  <si>
    <t>0bdce2af-fa5f-8860-ed77-3cf56323d3a6</t>
  </si>
  <si>
    <t>Leigh689</t>
  </si>
  <si>
    <t>205 Cruickshank Green Apt 21</t>
  </si>
  <si>
    <t>0a385e4d-2b35-616a-59f1-ea679679cc9f</t>
  </si>
  <si>
    <t>Sammie902</t>
  </si>
  <si>
    <t>123 Gerlach Meadow</t>
  </si>
  <si>
    <t>d157239a-9480-52e6-6f9f-b987bf404774</t>
  </si>
  <si>
    <t>Sadie426</t>
  </si>
  <si>
    <t>Gutkowski940</t>
  </si>
  <si>
    <t>Waltham</t>
  </si>
  <si>
    <t>a8cac900-0913-c0d6-e0b9-b5d41976006b</t>
  </si>
  <si>
    <t>Alexander630</t>
  </si>
  <si>
    <t>1008 Boehm Wall</t>
  </si>
  <si>
    <t>10f53ab6-8a1a-f523-0e49-4ed08248ae65</t>
  </si>
  <si>
    <t>1037 Wilderman Ville Unit 26</t>
  </si>
  <si>
    <t>8769c00c-54aa-4ebf-6aba-8cf91502e88b</t>
  </si>
  <si>
    <t>Ester635</t>
  </si>
  <si>
    <t>Garrido242</t>
  </si>
  <si>
    <t>785 Koelpin Throughway</t>
  </si>
  <si>
    <t>97f1818a-c70b-db16-3418-2c3c89196401</t>
  </si>
  <si>
    <t>1055 Mante Ferry Suite 93</t>
  </si>
  <si>
    <t>1c035e9d-e300-9bbd-e20f-c4f4e817907f</t>
  </si>
  <si>
    <t>Maia476</t>
  </si>
  <si>
    <t>614 Maggio Path Apt 72</t>
  </si>
  <si>
    <t>403539aa-e453-2c90-0f3f-622dac14ba78</t>
  </si>
  <si>
    <t>Jarrett354</t>
  </si>
  <si>
    <t>747 Maggio Estate</t>
  </si>
  <si>
    <t>541d4473-a17c-c5f4-5213-285530580665</t>
  </si>
  <si>
    <t>Ramiro608</t>
  </si>
  <si>
    <t>Herrera193</t>
  </si>
  <si>
    <t>444 Ankunding Common</t>
  </si>
  <si>
    <t>9bc313e0-1589-df7a-d765-51ca17ad7add</t>
  </si>
  <si>
    <t>Cliff504</t>
  </si>
  <si>
    <t>970 Rogahn Center</t>
  </si>
  <si>
    <t>7f7d9d31-10a6-1bcf-2091-2f7a18229ade</t>
  </si>
  <si>
    <t>Millicent213</t>
  </si>
  <si>
    <t>951 Macejkovic Dale Apt 84</t>
  </si>
  <si>
    <t>814f74d5-6a86-0d84-915d-ea8696834809</t>
  </si>
  <si>
    <t>Elmer371</t>
  </si>
  <si>
    <t>172 Gibson Loaf Unit 16</t>
  </si>
  <si>
    <t>50f54835-c57f-537f-37fe-e59110b889cd</t>
  </si>
  <si>
    <t>Mariette443</t>
  </si>
  <si>
    <t>960 Bins Row</t>
  </si>
  <si>
    <t>687477c9-6993-9506-1f88-d490ba921f32</t>
  </si>
  <si>
    <t>Josef103</t>
  </si>
  <si>
    <t>526 Hane Alley</t>
  </si>
  <si>
    <t>d40beca5-a3ee-af10-4610-13ff02fa26cd</t>
  </si>
  <si>
    <t>Israel728</t>
  </si>
  <si>
    <t>978 Gislason Well Unit 31</t>
  </si>
  <si>
    <t>c9fcb287-a69b-a40b-ece7-de807ef737ec</t>
  </si>
  <si>
    <t>Jon665</t>
  </si>
  <si>
    <t>395 Bernier Spur Unit 9</t>
  </si>
  <si>
    <t>102be01d-73ab-4e7c-6b48-dc775d48f392</t>
  </si>
  <si>
    <t>Cory323</t>
  </si>
  <si>
    <t>147 Willms Union Unit 92</t>
  </si>
  <si>
    <t>bffc8c86-2d27-c630-83d3-a05f314aa7af</t>
  </si>
  <si>
    <t>Johnny786</t>
  </si>
  <si>
    <t>Strosin214</t>
  </si>
  <si>
    <t>271 Moore Common Unit 83</t>
  </si>
  <si>
    <t>f9680fdc-351e-ebc2-0477-e0661c4980d2</t>
  </si>
  <si>
    <t>Marco578</t>
  </si>
  <si>
    <t>156 Lubowitz Forge</t>
  </si>
  <si>
    <t>fa583e57-b4ff-e3c2-c48d-ef26e27a2031</t>
  </si>
  <si>
    <t>375 Ferry Path Unit 62</t>
  </si>
  <si>
    <t>ae58c431-5ed8-6e3b-7a36-3aba32dafd79</t>
  </si>
  <si>
    <t>691 Rohan Landing</t>
  </si>
  <si>
    <t>f6932663-d920-6e76-89e1-21a6b43cf03b</t>
  </si>
  <si>
    <t>Morton637</t>
  </si>
  <si>
    <t>956 Willms Burg Unit 88</t>
  </si>
  <si>
    <t>9496fd63-511e-37e4-a22d-15c52a8bebd0</t>
  </si>
  <si>
    <t>Lance203</t>
  </si>
  <si>
    <t>Haag279</t>
  </si>
  <si>
    <t>777 Wilderman Road</t>
  </si>
  <si>
    <t>2be14cbb-edfe-6a44-58fb-9754f52a5c15</t>
  </si>
  <si>
    <t>Domonique463</t>
  </si>
  <si>
    <t>203 Bernhard Run</t>
  </si>
  <si>
    <t>415e1d82-d8cb-d7af-68a7-bf80c1faeee8</t>
  </si>
  <si>
    <t>Elvis145</t>
  </si>
  <si>
    <t>135 Johnston Rapid Suite 88</t>
  </si>
  <si>
    <t>792c626d-e342-87a3-2c20-2a0e318198ef</t>
  </si>
  <si>
    <t>Liza900</t>
  </si>
  <si>
    <t>426 Stracke Corner Suite 34</t>
  </si>
  <si>
    <t>d9dba405-bf77-af38-d617-1568ca2f329d</t>
  </si>
  <si>
    <t>Oren284</t>
  </si>
  <si>
    <t>164 Hilll Loaf</t>
  </si>
  <si>
    <t>bd95a12b-3952-18b6-05c7-a63359196ef6</t>
  </si>
  <si>
    <t>Dessie725</t>
  </si>
  <si>
    <t>348 Rempel Light Suite 64</t>
  </si>
  <si>
    <t>9d62b12c-091d-cc9b-d609-5c90223bc963</t>
  </si>
  <si>
    <t>98f271af-33d1-4c70-7020-50d0026b0766</t>
  </si>
  <si>
    <t>514 Kerluke Bridge Suite 79</t>
  </si>
  <si>
    <t>04439011-6a76-8606-1879-2a630330d1d1</t>
  </si>
  <si>
    <t>Joseph689</t>
  </si>
  <si>
    <t>Jenkins714</t>
  </si>
  <si>
    <t>Wisoky380</t>
  </si>
  <si>
    <t>417 Grady Run</t>
  </si>
  <si>
    <t>79f82bae-1b4a-dd6a-58b3-7679fdfb7661</t>
  </si>
  <si>
    <t>313 Moore Boulevard</t>
  </si>
  <si>
    <t>7a956a5f-1ed6-bc2e-7fa2-f63052b29524</t>
  </si>
  <si>
    <t>Spinka232</t>
  </si>
  <si>
    <t>573 Bauch Boulevard Apt 80</t>
  </si>
  <si>
    <t>c0f9a025-ca5b-27ad-979c-d80f374da0d1</t>
  </si>
  <si>
    <t>593 Grady Track Unit 50</t>
  </si>
  <si>
    <t>c17a27e0-0045-11df-4fe0-6520a7bebe0b</t>
  </si>
  <si>
    <t>842 Terry Trace Suite 10</t>
  </si>
  <si>
    <t>eadeadde-1b80-76cc-6558-2b5b511be15a</t>
  </si>
  <si>
    <t>Neville893</t>
  </si>
  <si>
    <t>373 Durgan Bypass Suite 61</t>
  </si>
  <si>
    <t>56355c60-1f3a-03ef-57d6-0d9ca841df12</t>
  </si>
  <si>
    <t>359 Block Branch Suite 74</t>
  </si>
  <si>
    <t>96e27075-6c49-69e3-a2f1-9548d4f25e6b</t>
  </si>
  <si>
    <t>Donte636</t>
  </si>
  <si>
    <t>921 Kunze Drive Suite 16</t>
  </si>
  <si>
    <t>bb9e2b36-bb5f-eda2-f1ae-f2c74a225272</t>
  </si>
  <si>
    <t>Lois157</t>
  </si>
  <si>
    <t>Beahan375</t>
  </si>
  <si>
    <t>238 Johnson Glen</t>
  </si>
  <si>
    <t>dccaefe2-518c-a083-d4ab-cea270ce521d</t>
  </si>
  <si>
    <t>Virginia437</t>
  </si>
  <si>
    <t>J√°quez824</t>
  </si>
  <si>
    <t>565 Conn Annex Suite 57</t>
  </si>
  <si>
    <t>e8406d5b-ad85-c535-2ec8-639ae5c409dd</t>
  </si>
  <si>
    <t>Antwan357</t>
  </si>
  <si>
    <t>Abbott774</t>
  </si>
  <si>
    <t>824 Rogahn Passage</t>
  </si>
  <si>
    <t>2bc0387b-9412-d275-00b0-bd3c215483e5</t>
  </si>
  <si>
    <t>Jody426</t>
  </si>
  <si>
    <t>928 Abshire Annex</t>
  </si>
  <si>
    <t>2ca3028c-9848-488e-03ee-ce3c2ce6563b</t>
  </si>
  <si>
    <t>Wanda961</t>
  </si>
  <si>
    <t>100 Murazik Spur Suite 86</t>
  </si>
  <si>
    <t>d64276bf-b90b-d586-4bec-8fee1dc68488</t>
  </si>
  <si>
    <t>Cherryl901</t>
  </si>
  <si>
    <t>327 Cummings Gateway Suite 34</t>
  </si>
  <si>
    <t>09e0ec41-cd4c-50b2-b425-824013777beb</t>
  </si>
  <si>
    <t>Nick779</t>
  </si>
  <si>
    <t>281 Kozey Center</t>
  </si>
  <si>
    <t>d24bf1cb-1ce5-ed65-3388-5dd6d3b405f3</t>
  </si>
  <si>
    <t>Lorelei90</t>
  </si>
  <si>
    <t>538 Conn Viaduct Unit 0</t>
  </si>
  <si>
    <t>1de6b30f-817f-01be-4b7d-333a0d8e5041</t>
  </si>
  <si>
    <t>Suanne858</t>
  </si>
  <si>
    <t>344 Borer Parade</t>
  </si>
  <si>
    <t>93d5095e-1179-cb73-87f9-131cbcf418a7</t>
  </si>
  <si>
    <t>Tyson541</t>
  </si>
  <si>
    <t>689 Aufderhar Vista</t>
  </si>
  <si>
    <t>8f4169a8-d4e9-5a4d-aa10-137af60e300e</t>
  </si>
  <si>
    <t>Neal874</t>
  </si>
  <si>
    <t>235 Little Trace</t>
  </si>
  <si>
    <t>f938a4ca-a22b-67df-02d1-ac78dce93f4d</t>
  </si>
  <si>
    <t>305 Cassin Ville Unit 68</t>
  </si>
  <si>
    <t>fa53fdfe-9fb4-a535-b49b-3ce0fd0998cd</t>
  </si>
  <si>
    <t>Donette997</t>
  </si>
  <si>
    <t>Bailey598</t>
  </si>
  <si>
    <t>317 Mante Lodge Suite 63</t>
  </si>
  <si>
    <t>500acdfe-d563-b822-a725-66cf17d165ff</t>
  </si>
  <si>
    <t>Kathrine376</t>
  </si>
  <si>
    <t>292 Conroy Lane</t>
  </si>
  <si>
    <t>42db7d7c-cfce-053b-7177-b21b3e438ad6</t>
  </si>
  <si>
    <t>Reid278</t>
  </si>
  <si>
    <t>381 Daugherty Stravenue Unit 37</t>
  </si>
  <si>
    <t>13034028-798b-3965-89ff-1c925a10203e</t>
  </si>
  <si>
    <t>Marlen929</t>
  </si>
  <si>
    <t>050a0341-c954-2856-b3a6-580f8a3aaf84</t>
  </si>
  <si>
    <t>Codi873</t>
  </si>
  <si>
    <t>277 Watsica Mission</t>
  </si>
  <si>
    <t>4088b125-c5e6-5ec2-3162-8d26f5ef0878</t>
  </si>
  <si>
    <t>Saundra460</t>
  </si>
  <si>
    <t>693 Murphy Lock</t>
  </si>
  <si>
    <t>b3089b6e-7e37-1385-3bb9-566694b36c1b</t>
  </si>
  <si>
    <t>392 Howell Street Unit 56</t>
  </si>
  <si>
    <t>2af76817-8b75-59b4-0678-bb3d5690f5a9</t>
  </si>
  <si>
    <t>Andra606</t>
  </si>
  <si>
    <t>813 Barton Neck Suite 60</t>
  </si>
  <si>
    <t>e8d1ee78-0fbe-18d2-ebbe-8575c378b4fc</t>
  </si>
  <si>
    <t>Lynsey2</t>
  </si>
  <si>
    <t>576 West Gardens</t>
  </si>
  <si>
    <t>986ac052-c328-f97f-59a0-7ce571f4ce20</t>
  </si>
  <si>
    <t>Nina110</t>
  </si>
  <si>
    <t>623 Hoppe Knoll Suite 81</t>
  </si>
  <si>
    <t>4af27943-2726-fdbd-3db7-f7e52aead5e8</t>
  </si>
  <si>
    <t>Mitch821</t>
  </si>
  <si>
    <t>Bartoletti50</t>
  </si>
  <si>
    <t>953 Runolfsson Vista Apt 3</t>
  </si>
  <si>
    <t>1f8598ca-dd7d-1faa-d085-cff43e34be62</t>
  </si>
  <si>
    <t>609 Veum Divide</t>
  </si>
  <si>
    <t>4eea0321-5c66-261e-a0cd-0813e19a995b</t>
  </si>
  <si>
    <t>Zackary401</t>
  </si>
  <si>
    <t>87374663-719e-5bff-d89e-6543b6d4e809</t>
  </si>
  <si>
    <t>Jame231</t>
  </si>
  <si>
    <t>204 Schamberger Well</t>
  </si>
  <si>
    <t>fb7e2537-087c-73f9-c289-60462c72a105</t>
  </si>
  <si>
    <t>880 Mueller Boulevard Unit 65</t>
  </si>
  <si>
    <t>1278fd47-3048-8534-9bc5-07a90d596b01</t>
  </si>
  <si>
    <t>Jerica256</t>
  </si>
  <si>
    <t>289 Ledner Fort Suite 96</t>
  </si>
  <si>
    <t>49d8bda4-817c-fa83-35fa-fc76f3178f57</t>
  </si>
  <si>
    <t>944 Walker Crossroad Suite 77</t>
  </si>
  <si>
    <t>890a07a6-385d-8691-c6f8-ad07f5b8e4b8</t>
  </si>
  <si>
    <t>Chiquita638</t>
  </si>
  <si>
    <t>248 Bayer Pathway</t>
  </si>
  <si>
    <t>f6f8ef47-024b-9348-47ff-301f11d8b818</t>
  </si>
  <si>
    <t>Arturo47</t>
  </si>
  <si>
    <t>Cuellar188</t>
  </si>
  <si>
    <t>587 Mraz Street Unit 45</t>
  </si>
  <si>
    <t>23b4e525-5b25-0478-9986-f7e095ad23c5</t>
  </si>
  <si>
    <t>Norma469</t>
  </si>
  <si>
    <t>Calvillo618</t>
  </si>
  <si>
    <t>596 Pollich Mall</t>
  </si>
  <si>
    <t>c32a972b-e26e-7ee3-5f55-d4209f53b4a8</t>
  </si>
  <si>
    <t>Jacob959</t>
  </si>
  <si>
    <t>713 Zulauf Union Suite 89</t>
  </si>
  <si>
    <t>7b8d225b-a721-4f61-fea9-f1e828f92cc4</t>
  </si>
  <si>
    <t>Debrah72</t>
  </si>
  <si>
    <t>816 Strosin Path Apt 84</t>
  </si>
  <si>
    <t>b84b1407-5d97-aaa2-05a3-07759963e615</t>
  </si>
  <si>
    <t>Glennis930</t>
  </si>
  <si>
    <t>616 Schowalter Bay</t>
  </si>
  <si>
    <t>faa8bebe-a2f1-fc09-eac3-a0a7f34513ad</t>
  </si>
  <si>
    <t>Cheryl605</t>
  </si>
  <si>
    <t>1006 Mills Drive</t>
  </si>
  <si>
    <t>a8d4b669-31b0-dbf8-74b1-0096127d91d3</t>
  </si>
  <si>
    <t>Mack300</t>
  </si>
  <si>
    <t>a9b52316-d4dc-285b-26c0-77e93ff6c8f3</t>
  </si>
  <si>
    <t>Robt687</t>
  </si>
  <si>
    <t>412 Konopelski Trailer</t>
  </si>
  <si>
    <t>5da5d3a1-cce8-e185-8a00-938dfaa64363</t>
  </si>
  <si>
    <t>Enola75</t>
  </si>
  <si>
    <t>1017 D'Amore Trace Unit 1</t>
  </si>
  <si>
    <t>83c110a9-19a4-2686-2783-bff4a5b79c96</t>
  </si>
  <si>
    <t>Hunter736</t>
  </si>
  <si>
    <t>657 Roberts Spur</t>
  </si>
  <si>
    <t>0ecff71d-c81d-3bef-9769-eba85ea6c82a</t>
  </si>
  <si>
    <t>Ismael683</t>
  </si>
  <si>
    <t>465 Vandervort Bypass Suite 45</t>
  </si>
  <si>
    <t>cea45305-4183-2e9b-f4c8-37220071f61d</t>
  </si>
  <si>
    <t>Benny518</t>
  </si>
  <si>
    <t>584 Keebler Run</t>
  </si>
  <si>
    <t>60d2d35e-bd32-36df-b8e0-b64a3494f0e8</t>
  </si>
  <si>
    <t>423 Windler Crossroad</t>
  </si>
  <si>
    <t>54889029-0a1e-0b75-5980-1c091dd4bc0e</t>
  </si>
  <si>
    <t>Sharolyn456</t>
  </si>
  <si>
    <t>989 Hilpert Trail</t>
  </si>
  <si>
    <t>d03ddf01-495e-b882-f722-bf2bb8aa59cf</t>
  </si>
  <si>
    <t>Jamika47</t>
  </si>
  <si>
    <t>305 Schimmel Road Unit 7</t>
  </si>
  <si>
    <t>d6636e8b-1bec-5eda-7b28-6b8c5fdfd065</t>
  </si>
  <si>
    <t>756 Hessel Extension Unit 56</t>
  </si>
  <si>
    <t>a6a5b35e-7f94-770c-9438-ea84c340ce00</t>
  </si>
  <si>
    <t>Delacr√∫z637</t>
  </si>
  <si>
    <t>687 Nienow Trafficway Suite 65</t>
  </si>
  <si>
    <t>c6e38dde-3d7b-da88-92f8-8e98bf4d58ca</t>
  </si>
  <si>
    <t>Milly429</t>
  </si>
  <si>
    <t>Gislason620</t>
  </si>
  <si>
    <t>737 Smitham Route</t>
  </si>
  <si>
    <t>2452ac97-2805-3d73-cb55-ae0bb6a0ddf5</t>
  </si>
  <si>
    <t>Charise827</t>
  </si>
  <si>
    <t>425 Friesen Lock</t>
  </si>
  <si>
    <t>f4b6639b-7a79-9331-a0f8-f83f73935032</t>
  </si>
  <si>
    <t>Alfonzo975</t>
  </si>
  <si>
    <t>254 Graham Burg Suite 82</t>
  </si>
  <si>
    <t>c0bf47bb-348e-11ea-0e8c-2d3b39882c2b</t>
  </si>
  <si>
    <t>Isaias604</t>
  </si>
  <si>
    <t>581 Mills Lane</t>
  </si>
  <si>
    <t>1e6969b4-e19b-0fdf-437c-266ec1a0f31f</t>
  </si>
  <si>
    <t>128 Quitzon Parade</t>
  </si>
  <si>
    <t>4aff5ff6-85b5-4253-5d00-b83a2ac90851</t>
  </si>
  <si>
    <t>Carmine137</t>
  </si>
  <si>
    <t>389 Blick Pathway Suite 73</t>
  </si>
  <si>
    <t>72815c45-098d-611f-64c6-34d112c34930</t>
  </si>
  <si>
    <t>203 Prosacco Parade Unit 74</t>
  </si>
  <si>
    <t>394f3e43-784c-b938-adb6-4b69efd46bbf</t>
  </si>
  <si>
    <t>Nichelle912</t>
  </si>
  <si>
    <t>684 Lang Crossing</t>
  </si>
  <si>
    <t>9b90e343-201b-b66c-15ed-31e4f0f18030</t>
  </si>
  <si>
    <t>Emelia239</t>
  </si>
  <si>
    <t>124 Johnston Park Suite 58</t>
  </si>
  <si>
    <t>002bc307-2fff-04ba-161b-98cce123e226</t>
  </si>
  <si>
    <t>Lavonia8</t>
  </si>
  <si>
    <t>1068 Quitzon Station</t>
  </si>
  <si>
    <t>f9a785f2-ef67-8c1f-1310-2e63ea2a9bc2</t>
  </si>
  <si>
    <t>949 Monahan Bridge</t>
  </si>
  <si>
    <t>2bbe538c-3a52-93d7-f68a-af7d2560e1a5</t>
  </si>
  <si>
    <t>Nava670</t>
  </si>
  <si>
    <t>Posada6</t>
  </si>
  <si>
    <t>518 Hane Flat Unit 30</t>
  </si>
  <si>
    <t>6ab7c57f-d1cf-b955-e205-261c29a54219</t>
  </si>
  <si>
    <t>Delmar187</t>
  </si>
  <si>
    <t>Hoppe518</t>
  </si>
  <si>
    <t>441 Farrell Village Suite 18</t>
  </si>
  <si>
    <t>2580b322-651e-2381-4916-9186b5d86433</t>
  </si>
  <si>
    <t>Eduardo902</t>
  </si>
  <si>
    <t>939 Ledner Station Apt 55</t>
  </si>
  <si>
    <t>3b66a28f-3d17-6260-d733-82b0951bb03d</t>
  </si>
  <si>
    <t>Christopher407</t>
  </si>
  <si>
    <t>Towne435</t>
  </si>
  <si>
    <t>199 Kozey Village Suite 8</t>
  </si>
  <si>
    <t>c1999cc3-345e-3ea1-d7b6-9d30cf0da842</t>
  </si>
  <si>
    <t>Odessa199</t>
  </si>
  <si>
    <t>1036 Hilll Lane Unit 97</t>
  </si>
  <si>
    <t>41a6be0c-6388-3b28-daff-dc60e5d6d61b</t>
  </si>
  <si>
    <t>Yu876</t>
  </si>
  <si>
    <t>612 Donnelly Crossroad</t>
  </si>
  <si>
    <t>a950f10e-c0e0-5b7f-14d7-5e750044ccec</t>
  </si>
  <si>
    <t>Jodi410</t>
  </si>
  <si>
    <t>1079 Dietrich Crossroad</t>
  </si>
  <si>
    <t>e541fe35-5c40-5acc-aab1-f9a4f72d5c8d</t>
  </si>
  <si>
    <t>Nelida367</t>
  </si>
  <si>
    <t>1089 Kuvalis Brook</t>
  </si>
  <si>
    <t>436a6472-8aff-5c2a-fe5c-a0ed1d4692f9</t>
  </si>
  <si>
    <t>Floria545</t>
  </si>
  <si>
    <t>532 Miller Arcade Unit 61</t>
  </si>
  <si>
    <t>0f8742d2-594e-de70-fc35-5413dd1c108f</t>
  </si>
  <si>
    <t>183 Barton Boulevard</t>
  </si>
  <si>
    <t>c7d58bd4-3674-2399-35b7-4d258f515440</t>
  </si>
  <si>
    <t>Antione404</t>
  </si>
  <si>
    <t>688 Bergnaum Center</t>
  </si>
  <si>
    <t>Watertown</t>
  </si>
  <si>
    <t>f18dc46f-1bc3-3c89-1a9f-5afe1a07eb83</t>
  </si>
  <si>
    <t>David908</t>
  </si>
  <si>
    <t>109 Bartell Loaf Apt 26</t>
  </si>
  <si>
    <t>b02dee58-c356-b1d9-5116-e719fa43e484</t>
  </si>
  <si>
    <t>Hisako109</t>
  </si>
  <si>
    <t>Huels583</t>
  </si>
  <si>
    <t>593 Huel Street</t>
  </si>
  <si>
    <t>2485bada-a5bd-8afe-ea7c-99cc827a9e57</t>
  </si>
  <si>
    <t>Alonzo487</t>
  </si>
  <si>
    <t>978 Jakubowski Grove</t>
  </si>
  <si>
    <t>f44bdd2e-7a9f-20e3-1c3a-6639dd02d809</t>
  </si>
  <si>
    <t>Wilbur107</t>
  </si>
  <si>
    <t>Orn563</t>
  </si>
  <si>
    <t>759 Heathcote Pathway</t>
  </si>
  <si>
    <t>7b1ef5a5-603f-67a4-e630-8e0a245f5e14</t>
  </si>
  <si>
    <t>Salvador46</t>
  </si>
  <si>
    <t>1093 Koelpin Crossroad Suite 15</t>
  </si>
  <si>
    <t>cfe76007-9d16-a6b4-628e-b6a6cd79bdcc</t>
  </si>
  <si>
    <t>Sylvester827</t>
  </si>
  <si>
    <t>917 Rodriguez Trafficway</t>
  </si>
  <si>
    <t>43a51b6e-c5b6-7033-f39c-acf7a7be7eeb</t>
  </si>
  <si>
    <t>Lasonya941</t>
  </si>
  <si>
    <t>945 Shanahan Green</t>
  </si>
  <si>
    <t>cd2f81e1-ac45-c9af-6a3a-b526e22194c7</t>
  </si>
  <si>
    <t>Geri861</t>
  </si>
  <si>
    <t>435 Kuphal Trafficway</t>
  </si>
  <si>
    <t>5e055638-0dad-dfd5-005d-1e74b6fd29ac</t>
  </si>
  <si>
    <t>Shani239</t>
  </si>
  <si>
    <t>188 Torp Gateway</t>
  </si>
  <si>
    <t>d1629b63-3486-1537-a088-cd641d231e86</t>
  </si>
  <si>
    <t>300 Abbott Overpass Suite 29</t>
  </si>
  <si>
    <t>7b252795-9dab-ba2d-a431-45c85bb2b7b6</t>
  </si>
  <si>
    <t>Isiah14</t>
  </si>
  <si>
    <t>745 Kirlin Green Apt 85</t>
  </si>
  <si>
    <t>fd986dd9-5b2c-c5f0-f358-6753e5612a80</t>
  </si>
  <si>
    <t>Alejandro916</t>
  </si>
  <si>
    <t>393 Fadel Stravenue</t>
  </si>
  <si>
    <t>e520953a-ee37-4bf4-1df7-aec4b89fb761</t>
  </si>
  <si>
    <t>Jonnie215</t>
  </si>
  <si>
    <t>803 Kemmer Union</t>
  </si>
  <si>
    <t>6104d672-bd0e-0f8b-603b-0cd60067beda</t>
  </si>
  <si>
    <t>741 Smith Lane</t>
  </si>
  <si>
    <t>6ca009be-ff5b-d2c7-e841-876157296c76</t>
  </si>
  <si>
    <t>Juana825</t>
  </si>
  <si>
    <t>Sandoval902</t>
  </si>
  <si>
    <t>26df26e6-6496-8375-ac92-09d65ed8165b</t>
  </si>
  <si>
    <t>Carolyn322</t>
  </si>
  <si>
    <t>Lebsack687</t>
  </si>
  <si>
    <t>707 Torp Key</t>
  </si>
  <si>
    <t>a6edb3a5-9e0c-380d-b42e-6b98720ee617</t>
  </si>
  <si>
    <t>Trinidad33</t>
  </si>
  <si>
    <t>260 Erdman Center</t>
  </si>
  <si>
    <t>4ccb1d0f-6861-58a2-dde4-983716f6349b</t>
  </si>
  <si>
    <t>Maynard46</t>
  </si>
  <si>
    <t>988 Ryan Arcade</t>
  </si>
  <si>
    <t>fc81fad8-86e1-4df2-0613-25019adf3e5d</t>
  </si>
  <si>
    <t>Elwanda490</t>
  </si>
  <si>
    <t>631 Reynolds Fort</t>
  </si>
  <si>
    <t>d8c74280-8a38-e115-b39c-f048871ff828</t>
  </si>
  <si>
    <t>Neil122</t>
  </si>
  <si>
    <t>225 Kulas Bridge</t>
  </si>
  <si>
    <t>a300a304-9b4c-c4c8-696f-376bb78b3663</t>
  </si>
  <si>
    <t>1051 Roob Drive</t>
  </si>
  <si>
    <t>86776df8-730c-c2af-850c-25339f0b1ed6</t>
  </si>
  <si>
    <t>746 Pacocha Trail Unit 1</t>
  </si>
  <si>
    <t>8a72615e-cd5a-c700-7bdc-7608cb4280dc</t>
  </si>
  <si>
    <t>Isreal8</t>
  </si>
  <si>
    <t>652 O'Connell Esplanade Unit 21</t>
  </si>
  <si>
    <t>1e3e52c8-ac41-f00c-9525-e3bc13761601</t>
  </si>
  <si>
    <t>382 Hauck Viaduct</t>
  </si>
  <si>
    <t>ac02d86d-bf74-382d-1718-2b24132d5ab1</t>
  </si>
  <si>
    <t>Tyron580</t>
  </si>
  <si>
    <t>156 Senger Boulevard Suite 6</t>
  </si>
  <si>
    <t>899fe4f6-22a0-3a63-e58b-ee2d8d280df3</t>
  </si>
  <si>
    <t>Acevedo301</t>
  </si>
  <si>
    <t>Mac√≠as944</t>
  </si>
  <si>
    <t>128 Luettgen Divide</t>
  </si>
  <si>
    <t>b2b5f8d2-9ba8-f517-5ce5-3f246a0eee52</t>
  </si>
  <si>
    <t>Horace32</t>
  </si>
  <si>
    <t>867 Auer Landing</t>
  </si>
  <si>
    <t>12e05e42-1c47-1284-9c84-b1c242839fc3</t>
  </si>
  <si>
    <t>Shelly431</t>
  </si>
  <si>
    <t>823 Boyer Path Unit 17</t>
  </si>
  <si>
    <t>b5989ff6-65d3-3ec8-8215-8c13f84e4251</t>
  </si>
  <si>
    <t>Susanne275</t>
  </si>
  <si>
    <t>1031 Wehner Trail Unit 66</t>
  </si>
  <si>
    <t>299f7173-b659-012b-8870-80fc44d059ad</t>
  </si>
  <si>
    <t>Shakira391</t>
  </si>
  <si>
    <t>209 Keebler Divide</t>
  </si>
  <si>
    <t>9b3d58ee-569f-a72d-cbed-dde6610a9aad</t>
  </si>
  <si>
    <t>Gale827</t>
  </si>
  <si>
    <t>424 Walter Glen Suite 43</t>
  </si>
  <si>
    <t>5318b05b-9036-40da-db8e-275d4aa429d3</t>
  </si>
  <si>
    <t>1040 Bernier Annex Suite 38</t>
  </si>
  <si>
    <t>2999ffe8-ab8a-3afa-ab9e-aa40fa162e8c</t>
  </si>
  <si>
    <t>Rebeca548</t>
  </si>
  <si>
    <t>1006 Stracke Common Apt 72</t>
  </si>
  <si>
    <t>0d8c3506-e145-4689-b1b8-caed8a68ca4c</t>
  </si>
  <si>
    <t>Vannesa928</t>
  </si>
  <si>
    <t>737 Kirlin Throughway Apt 82</t>
  </si>
  <si>
    <t>8a6defb8-8b23-dfc6-1c3b-d8a4f9c8f16d</t>
  </si>
  <si>
    <t>Barbara209</t>
  </si>
  <si>
    <t>Pizarro791</t>
  </si>
  <si>
    <t>Qui√±√≥nez764</t>
  </si>
  <si>
    <t>407 Heller Flat</t>
  </si>
  <si>
    <t>8b072645-9aae-9166-11e4-45e0e6bf7618</t>
  </si>
  <si>
    <t>Arie325</t>
  </si>
  <si>
    <t>1098 Bogisich Lock Apt 91</t>
  </si>
  <si>
    <t>ac2e29a3-af9c-4bcd-1b34-b11d145b220a</t>
  </si>
  <si>
    <t>Meghan514</t>
  </si>
  <si>
    <t>227 Kuvalis Mews</t>
  </si>
  <si>
    <t>cb1af831-358a-b44c-6681-275b8705fd3c</t>
  </si>
  <si>
    <t>806 Weber Mission Suite 81</t>
  </si>
  <si>
    <t>6c1ae433-7df2-17c1-9ab3-ef1ddc86d0ed</t>
  </si>
  <si>
    <t>982 Krajcik Village</t>
  </si>
  <si>
    <t>772961f8-03a3-9b6f-8dad-12a9a3b5e9a5</t>
  </si>
  <si>
    <t>Damian46</t>
  </si>
  <si>
    <t>387 Hodkiewicz Mill</t>
  </si>
  <si>
    <t>d94cc195-75f0-660c-1c8b-c7ed9ab18dc3</t>
  </si>
  <si>
    <t>603 Howell Alley Suite 20</t>
  </si>
  <si>
    <t>1c1077aa-6ced-5e7f-9c1c-0265f92f5f7e</t>
  </si>
  <si>
    <t>Francisca486</t>
  </si>
  <si>
    <t>Contreras711</t>
  </si>
  <si>
    <t>216 Satterfield Plaza</t>
  </si>
  <si>
    <t>d6eff870-2871-f485-e179-40f0dfe0735b</t>
  </si>
  <si>
    <t>Jacquetta148</t>
  </si>
  <si>
    <t>951 Harber Skyway Unit 46</t>
  </si>
  <si>
    <t>66024135-2cc9-0ee8-046d-3df3a62774da</t>
  </si>
  <si>
    <t>Rene434</t>
  </si>
  <si>
    <t>480 Rempel Forge Suite 62</t>
  </si>
  <si>
    <t>8add119f-45d9-5195-01c3-327bc1803838</t>
  </si>
  <si>
    <t>Jc393</t>
  </si>
  <si>
    <t>265 Abbott Lane</t>
  </si>
  <si>
    <t>48388274-c84f-55c9-40d0-342a61980fc6</t>
  </si>
  <si>
    <t>Brandy18</t>
  </si>
  <si>
    <t>756 Konopelski Boulevard</t>
  </si>
  <si>
    <t>2129a358-dc89-5c48-c3f6-85b4cd636bc3</t>
  </si>
  <si>
    <t>Michale231</t>
  </si>
  <si>
    <t>787 Kuvalis Annex Unit 33</t>
  </si>
  <si>
    <t>a80b1160-93f0-db7e-9f23-04ea6fdddfaf</t>
  </si>
  <si>
    <t>Abraham100</t>
  </si>
  <si>
    <t>Ruecker817</t>
  </si>
  <si>
    <t>725 Hermann Mill Unit 4</t>
  </si>
  <si>
    <t>e30f944e-7312-74f5-6836-9a9f8d97aba9</t>
  </si>
  <si>
    <t>869 Kautzer Landing Apt 23</t>
  </si>
  <si>
    <t>14ea6514-9483-5799-65a6-cbc2967c6df6</t>
  </si>
  <si>
    <t>Wyatt967</t>
  </si>
  <si>
    <t>914 Harris Stravenue</t>
  </si>
  <si>
    <t>29784b41-3c90-344a-9575-82823cf83347</t>
  </si>
  <si>
    <t>Zena758</t>
  </si>
  <si>
    <t>1053 Lind Knoll</t>
  </si>
  <si>
    <t>4bea6e9f-cbbe-e6ce-3a61-3ef3aca43637</t>
  </si>
  <si>
    <t>994 Schneider Alley Suite 42</t>
  </si>
  <si>
    <t>a174097b-11ea-96c5-97ce-706e648954d6</t>
  </si>
  <si>
    <t>587 Blick Pathway Apt 9</t>
  </si>
  <si>
    <t>09821486-2d2a-8a14-17c8-7c6d78baee05</t>
  </si>
  <si>
    <t>Antoine384</t>
  </si>
  <si>
    <t>910 Glover Mall Unit 42</t>
  </si>
  <si>
    <t>635a0b60-3ec2-c060-e378-85b12c5b49c9</t>
  </si>
  <si>
    <t>Dorotha379</t>
  </si>
  <si>
    <t>1078 Strosin Union Unit 89</t>
  </si>
  <si>
    <t>e4188722-f6a7-12f7-e0ef-644db467dd24</t>
  </si>
  <si>
    <t>An125</t>
  </si>
  <si>
    <t>541 Ullrich Trail</t>
  </si>
  <si>
    <t>baa39410-c7b5-2f3a-76e9-8cb74f1fff82</t>
  </si>
  <si>
    <t>Elisa944</t>
  </si>
  <si>
    <t>Tejada731</t>
  </si>
  <si>
    <t>Nev√°rez403</t>
  </si>
  <si>
    <t>562 Champlin Ferry Unit 1</t>
  </si>
  <si>
    <t>f1729ee4-8177-96de-304e-deeffa55be1e</t>
  </si>
  <si>
    <t>339 Hills Crossing Unit 68</t>
  </si>
  <si>
    <t>11766433-08db-8155-ef97-93f7e26fe443</t>
  </si>
  <si>
    <t>Leana211</t>
  </si>
  <si>
    <t>241 Haley Light</t>
  </si>
  <si>
    <t>227aed94-d7ed-200d-2c52-e51ed58156c4</t>
  </si>
  <si>
    <t>Treasa448</t>
  </si>
  <si>
    <t>772 Dickinson Green</t>
  </si>
  <si>
    <t>01296e88-f6d9-1c18-cf91-87523325e034</t>
  </si>
  <si>
    <t>Tonisha838</t>
  </si>
  <si>
    <t>626 Jacobson Vale</t>
  </si>
  <si>
    <t>c671765d-c0e8-1e05-ea0f-891eca11ccf8</t>
  </si>
  <si>
    <t>Roman389</t>
  </si>
  <si>
    <t>583 Dare Overpass Apt 69</t>
  </si>
  <si>
    <t>c2d53b0f-f011-97fa-d397-ece379b685fd</t>
  </si>
  <si>
    <t>Corinne382</t>
  </si>
  <si>
    <t>103 Walsh Station</t>
  </si>
  <si>
    <t>0b85d7d4-a13c-8077-3f4a-18f815e641c5</t>
  </si>
  <si>
    <t>Ronald408</t>
  </si>
  <si>
    <t>479 Rodriguez Highlands</t>
  </si>
  <si>
    <t>919a019a-e169-73f2-28d8-106320e7c8dc</t>
  </si>
  <si>
    <t>1078 Sporer Brook Apt 4</t>
  </si>
  <si>
    <t>cef18cf6-75e5-4a6c-56f7-87ebb55ff938</t>
  </si>
  <si>
    <t>670 Considine Terrace</t>
  </si>
  <si>
    <t>d1703421-cb91-03f2-c3ca-2416c484fd00</t>
  </si>
  <si>
    <t>Keeley419</t>
  </si>
  <si>
    <t>243 Schmitt Trailer Unit 43</t>
  </si>
  <si>
    <t>433fdc27-c391-c052-e67c-4dc639127c0d</t>
  </si>
  <si>
    <t>658 Haag Vista</t>
  </si>
  <si>
    <t>347aae44-7c6d-5deb-76af-4c8603a59fa1</t>
  </si>
  <si>
    <t>Leonarda398</t>
  </si>
  <si>
    <t>417 Walker Station</t>
  </si>
  <si>
    <t>10db24b0-27dc-876d-a3f5-a0f3d2fe03b4</t>
  </si>
  <si>
    <t>Mojica921</t>
  </si>
  <si>
    <t>399 Rosenbaum Bypass Unit 67</t>
  </si>
  <si>
    <t>b7f1666b-b956-5be0-1930-5680e566d886</t>
  </si>
  <si>
    <t>Gabriel934</t>
  </si>
  <si>
    <t>344 Jakubowski Gateway</t>
  </si>
  <si>
    <t>08b1750c-48cc-06b7-2d03-a37d367c34be</t>
  </si>
  <si>
    <t>197 Rippin Park Apt 13</t>
  </si>
  <si>
    <t>a6d6f3e9-6fe5-26f7-3f67-39a5f06c1743</t>
  </si>
  <si>
    <t>Rufus33</t>
  </si>
  <si>
    <t>907 Labadie Mews Suite 31</t>
  </si>
  <si>
    <t>75149ab2-354b-18bb-c4e8-26c3191c6b66</t>
  </si>
  <si>
    <t>Faustino767</t>
  </si>
  <si>
    <t>Mraz590</t>
  </si>
  <si>
    <t>686 Barrows Dam</t>
  </si>
  <si>
    <t>57cca2cf-0a10-eca8-22ce-d924796b1b42</t>
  </si>
  <si>
    <t>612 Rempel Branch Apt 91</t>
  </si>
  <si>
    <t>16ebad97-3986-cd97-44fe-36515ab6ad45</t>
  </si>
  <si>
    <t>Vincenzo126</t>
  </si>
  <si>
    <t>Raynor401</t>
  </si>
  <si>
    <t>423 Stark Stravenue</t>
  </si>
  <si>
    <t>e628d813-fe39-4da4-e93b-ea406a130e54</t>
  </si>
  <si>
    <t>Julio255</t>
  </si>
  <si>
    <t>513 Satterfield Landing</t>
  </si>
  <si>
    <t>e918253f-e8ca-404c-0419-0ba03a6cd669</t>
  </si>
  <si>
    <t>Classie132</t>
  </si>
  <si>
    <t>Hilll811</t>
  </si>
  <si>
    <t>605 Kulas Tunnel Unit 97</t>
  </si>
  <si>
    <t>229ce85d-1487-38af-738f-2efb401334c0</t>
  </si>
  <si>
    <t>Lurline371</t>
  </si>
  <si>
    <t>877 Schultz Parade Apt 74</t>
  </si>
  <si>
    <t>33f31a4c-e818-d9cf-8ea8-7c0430884a9d</t>
  </si>
  <si>
    <t>Mario764</t>
  </si>
  <si>
    <t>Vela532</t>
  </si>
  <si>
    <t>460 Goodwin Pathway</t>
  </si>
  <si>
    <t>4247a05f-9fde-02c7-8fb8-97caeac6ec4b</t>
  </si>
  <si>
    <t>Dorthy94</t>
  </si>
  <si>
    <t>317 Kertzmann Vista Unit 3</t>
  </si>
  <si>
    <t>624e6dad-69f7-1f89-ca0b-5f77d4415ada</t>
  </si>
  <si>
    <t>Weldon459</t>
  </si>
  <si>
    <t>608 Mohr Esplanade</t>
  </si>
  <si>
    <t>a24c03cc-0760-bdaa-659b-ec1f5c3bf614</t>
  </si>
  <si>
    <t>Lashawna733</t>
  </si>
  <si>
    <t>375 Barrows Promenade</t>
  </si>
  <si>
    <t>70e8be4c-7141-66e7-689b-107d851496fb</t>
  </si>
  <si>
    <t>Sung603</t>
  </si>
  <si>
    <t>716 Barton Ferry</t>
  </si>
  <si>
    <t>4fa333c9-2380-ecb9-f346-221c14eeb011</t>
  </si>
  <si>
    <t>Gerardo48</t>
  </si>
  <si>
    <t>Valenzuela371</t>
  </si>
  <si>
    <t>183 Shields Annex</t>
  </si>
  <si>
    <t>93ccd840-7437-b0ab-ed34-3b55a83bc976</t>
  </si>
  <si>
    <t>687 Homenick Street</t>
  </si>
  <si>
    <t>7651a46a-6a53-1c75-2e79-6b726356c6e2</t>
  </si>
  <si>
    <t>Lynette631</t>
  </si>
  <si>
    <t>Kunde533</t>
  </si>
  <si>
    <t>975 Raynor Wall</t>
  </si>
  <si>
    <t>0c122290-8c15-77ac-b418-2fea4e8a8e6a</t>
  </si>
  <si>
    <t>Randolph418</t>
  </si>
  <si>
    <t>999 Shanahan Course Unit 15</t>
  </si>
  <si>
    <t>40163e87-ac6c-2c36-deb8-871fa05e7bca</t>
  </si>
  <si>
    <t>Rodrick370</t>
  </si>
  <si>
    <t>666 Olson Light Suite 90</t>
  </si>
  <si>
    <t>f468b604-398a-bfbf-3787-9ab68db7b588</t>
  </si>
  <si>
    <t>307 Jerde Light</t>
  </si>
  <si>
    <t>453d2d76-d5ed-50a1-91df-d709799e2d3b</t>
  </si>
  <si>
    <t>Jamal145</t>
  </si>
  <si>
    <t>964 Sauer Burg</t>
  </si>
  <si>
    <t>79e6db0a-808a-5154-4490-54a2c7a10b45</t>
  </si>
  <si>
    <t>467 Ortiz Rest Apt 50</t>
  </si>
  <si>
    <t>abda5895-770d-4851-b0dc-d83478638a8c</t>
  </si>
  <si>
    <t>Sheldon401</t>
  </si>
  <si>
    <t>817 Kuphal Dale</t>
  </si>
  <si>
    <t>91084719-3b53-6162-0a62-8079fd3f1031</t>
  </si>
  <si>
    <t>Elli820</t>
  </si>
  <si>
    <t>677 Spencer Trace Suite 63</t>
  </si>
  <si>
    <t>44ff035f-e479-9692-ce05-37d191aacbe0</t>
  </si>
  <si>
    <t>Jenine75</t>
  </si>
  <si>
    <t>574 Tremblay Path Apt 32</t>
  </si>
  <si>
    <t>64e9bc14-d575-99a4-192b-514c00c0d660</t>
  </si>
  <si>
    <t>Johana303</t>
  </si>
  <si>
    <t>741 Bartoletti Crossroad Unit 1</t>
  </si>
  <si>
    <t>909f9c85-85f2-3341-9d7f-4c35ef99f78e</t>
  </si>
  <si>
    <t>Valarie790</t>
  </si>
  <si>
    <t>Rowe323</t>
  </si>
  <si>
    <t>D'Amore443</t>
  </si>
  <si>
    <t>f9bcfd25-945c-4e3e-39f1-8ed50525a3e4</t>
  </si>
  <si>
    <t>547 Muller Fort Apt 61</t>
  </si>
  <si>
    <t>795c2482-95b3-1fdc-05ba-49f205e9a3f0</t>
  </si>
  <si>
    <t>Onie555</t>
  </si>
  <si>
    <t>512 Torphy Bypass Apt 25</t>
  </si>
  <si>
    <t>c1ddd73b-2af1-19ee-40f3-50048992a999</t>
  </si>
  <si>
    <t>Tristan353</t>
  </si>
  <si>
    <t>132 Hyatt Park</t>
  </si>
  <si>
    <t>7b9258a3-2525-e24e-d5bf-4e1f25e96de8</t>
  </si>
  <si>
    <t>Garret233</t>
  </si>
  <si>
    <t>278 Bartoletti Trace Apt 84</t>
  </si>
  <si>
    <t>421ea286-6406-86b7-c404-9ecba2eebe85</t>
  </si>
  <si>
    <t>Kristal814</t>
  </si>
  <si>
    <t>1003 Keeling Club Suite 28</t>
  </si>
  <si>
    <t>f457aa0d-98bd-0d18-c4ae-753f51f70be6</t>
  </si>
  <si>
    <t>Gabriela205</t>
  </si>
  <si>
    <t>Cerda549</t>
  </si>
  <si>
    <t>Osorio731</t>
  </si>
  <si>
    <t>357 Schowalter Overpass Suite 18</t>
  </si>
  <si>
    <t>238ae918-f31e-2866-4dc5-de654dc5df20</t>
  </si>
  <si>
    <t>Ricarda574</t>
  </si>
  <si>
    <t>543 Greenholt Extension</t>
  </si>
  <si>
    <t>0989e14c-0621-b9cc-1219-fb92c0927232</t>
  </si>
  <si>
    <t>938 Brown Esplanade</t>
  </si>
  <si>
    <t>1dd9fc50-7082-dafb-0ac9-a83151b90522</t>
  </si>
  <si>
    <t>Krysten276</t>
  </si>
  <si>
    <t>379 O'Reilly Light</t>
  </si>
  <si>
    <t>f898bd52-76d8-b18a-98d9-35621e90007f</t>
  </si>
  <si>
    <t>Gina573</t>
  </si>
  <si>
    <t>919 Grady Light</t>
  </si>
  <si>
    <t>2b551657-ff45-aef8-b16e-fd0da9e331cd</t>
  </si>
  <si>
    <t>Alysia661</t>
  </si>
  <si>
    <t>647 Price Parade</t>
  </si>
  <si>
    <t>2a7a94c5-3cd1-6394-8b70-1bf16194e550</t>
  </si>
  <si>
    <t>Swift555</t>
  </si>
  <si>
    <t>772 Schmeler Mission</t>
  </si>
  <si>
    <t>45143d96-1165-e949-2c51-422c2df7c679</t>
  </si>
  <si>
    <t>Malka46</t>
  </si>
  <si>
    <t>378 Watsica Lane</t>
  </si>
  <si>
    <t>75fd900f-3dee-222d-7d5a-3a5ec03b85f2</t>
  </si>
  <si>
    <t>937 Daugherty Trafficway</t>
  </si>
  <si>
    <t>77dedc66-369c-bb18-940d-0db841255ef7</t>
  </si>
  <si>
    <t>Varela93</t>
  </si>
  <si>
    <t>1098 Terry Loaf Apt 10</t>
  </si>
  <si>
    <t>9f064bb4-42f4-fbf6-34ea-2b4cefd8023b</t>
  </si>
  <si>
    <t>Leonardo412</t>
  </si>
  <si>
    <t>913 Padberg Mews Suite 95</t>
  </si>
  <si>
    <t>0425b284-e697-937d-a00b-6fda0f1b9710</t>
  </si>
  <si>
    <t>Angelo118</t>
  </si>
  <si>
    <t>712 Hartmann View</t>
  </si>
  <si>
    <t>c06513da-7f35-b4eb-5bab-28c87ff97a10</t>
  </si>
  <si>
    <t>Tomas436</t>
  </si>
  <si>
    <t>754 Pfannerstill Park</t>
  </si>
  <si>
    <t>6b6e8cda-703a-6a17-4943-b3bd1d709084</t>
  </si>
  <si>
    <t>380 Wintheiser Run Apt 92</t>
  </si>
  <si>
    <t>a2b011b1-ca0a-69fa-6906-6c06ad18376a</t>
  </si>
  <si>
    <t>Gerald181</t>
  </si>
  <si>
    <t>7506d350-0f35-7c82-3b8a-d7aa80114352</t>
  </si>
  <si>
    <t>460 Padberg Dale Apt 89</t>
  </si>
  <si>
    <t>5936f828-81d9-1a90-03b1-cfe49183dba8</t>
  </si>
  <si>
    <t>Sunni15</t>
  </si>
  <si>
    <t>797 Shanahan Center</t>
  </si>
  <si>
    <t>d684571e-a784-ef61-429e-06fa0d2b1637</t>
  </si>
  <si>
    <t>810 Yundt Forge Suite 2</t>
  </si>
  <si>
    <t>13c6f26e-17b7-f534-04db-78a26b26018d</t>
  </si>
  <si>
    <t>Berneice173</t>
  </si>
  <si>
    <t>521e998b-ff0e-767f-b0ee-2bdf1168d66c</t>
  </si>
  <si>
    <t>505 Mertz Path Apt 40</t>
  </si>
  <si>
    <t>b57e24a2-2e48-12f9-3293-c88745cfdc3f</t>
  </si>
  <si>
    <t>Chrissy459</t>
  </si>
  <si>
    <t>366 Beer Crossroad</t>
  </si>
  <si>
    <t>204f8028-72f8-d6f8-761f-79ebf9f02311</t>
  </si>
  <si>
    <t>Melaine933</t>
  </si>
  <si>
    <t>382 Mosciski Road</t>
  </si>
  <si>
    <t>DEATH DATE</t>
  </si>
  <si>
    <t>BIRTH DATE</t>
  </si>
  <si>
    <t>Ad√°N600</t>
  </si>
  <si>
    <t>Jos√© Mar√≠A211</t>
  </si>
  <si>
    <t>Nicol√°S801</t>
  </si>
  <si>
    <t>Ver√≥Nica383</t>
  </si>
  <si>
    <t>Ram√≥N841</t>
  </si>
  <si>
    <t>Mar√≠A Elena653</t>
  </si>
  <si>
    <t>Mar√≠A Teresa440</t>
  </si>
  <si>
    <t>Tom√°S404</t>
  </si>
  <si>
    <t>Su√°Rez24</t>
  </si>
  <si>
    <t>Mcclure239</t>
  </si>
  <si>
    <t>Mcglynn426</t>
  </si>
  <si>
    <t>Mclaughlin530</t>
  </si>
  <si>
    <t>Santill√°N790</t>
  </si>
  <si>
    <t>Fl√≥Rez858</t>
  </si>
  <si>
    <t>Mcdermott739</t>
  </si>
  <si>
    <t>Far√≠As160</t>
  </si>
  <si>
    <t>Rold√°N470</t>
  </si>
  <si>
    <t>Alc√°Ntar600</t>
  </si>
  <si>
    <t>Vonrueden376</t>
  </si>
  <si>
    <t>Mckenzie376</t>
  </si>
  <si>
    <t>Chavarr√≠A957</t>
  </si>
  <si>
    <t>Dubuque211</t>
  </si>
  <si>
    <t>Mar√≠N855</t>
  </si>
  <si>
    <t>Villase√±Or332</t>
  </si>
  <si>
    <t>N√∫√±Ez242</t>
  </si>
  <si>
    <t>Gast√©Lum330</t>
  </si>
  <si>
    <t>Holgu√≠N308</t>
  </si>
  <si>
    <t>Fern√°Ndez399</t>
  </si>
  <si>
    <t>Macgyver246</t>
  </si>
  <si>
    <t>Mart√≠Nez540</t>
  </si>
  <si>
    <t>P√°Ez758</t>
  </si>
  <si>
    <t>Enr√≠Quez603</t>
  </si>
  <si>
    <t>S√°Enz811</t>
  </si>
  <si>
    <t>Delr√≠O329</t>
  </si>
  <si>
    <t>Mondrag√≥N635</t>
  </si>
  <si>
    <t>De Jes√∫S414</t>
  </si>
  <si>
    <t>White</t>
  </si>
  <si>
    <t>Asian</t>
  </si>
  <si>
    <t>Black</t>
  </si>
  <si>
    <t>Native</t>
  </si>
  <si>
    <t>Hawaiian</t>
  </si>
  <si>
    <t>Other</t>
  </si>
  <si>
    <t>Nonhispanic</t>
  </si>
  <si>
    <t>Hispanic</t>
  </si>
  <si>
    <t>Wakefield  Massachusetts  Us</t>
  </si>
  <si>
    <t>Brookline  Massachusetts  Us</t>
  </si>
  <si>
    <t>Gardner  Massachusetts  Us</t>
  </si>
  <si>
    <t>Randolph  Massachusetts  Us</t>
  </si>
  <si>
    <t>Stow  Massachusetts  Us</t>
  </si>
  <si>
    <t>Boston  Massachusetts  Us</t>
  </si>
  <si>
    <t>Beijing  Beijing Municipality  Cn</t>
  </si>
  <si>
    <t>Lowell  Massachusetts  Us</t>
  </si>
  <si>
    <t>Pembroke  Massachusetts  Us</t>
  </si>
  <si>
    <t>Amesbury  Massachusetts  Us</t>
  </si>
  <si>
    <t>New Bedford  Massachusetts  Us</t>
  </si>
  <si>
    <t>Salem  Massachusetts  Us</t>
  </si>
  <si>
    <t>Fairhaven  Massachusetts  Us</t>
  </si>
  <si>
    <t>Chelsea  Massachusetts  Us</t>
  </si>
  <si>
    <t>Oxford  Massachusetts  Us</t>
  </si>
  <si>
    <t>Waltham  Massachusetts  Us</t>
  </si>
  <si>
    <t>Haverhill  Massachusetts  Us</t>
  </si>
  <si>
    <t>Attleboro  Massachusetts  Us</t>
  </si>
  <si>
    <t>South Duxbury  Massachusetts  Us</t>
  </si>
  <si>
    <t>Somerville  Massachusetts  Us</t>
  </si>
  <si>
    <t>Watertown  Massachusetts  Us</t>
  </si>
  <si>
    <t>Swansea  Massachusetts  Us</t>
  </si>
  <si>
    <t>Sheffield  Massachusetts  Us</t>
  </si>
  <si>
    <t>Wilmington  Massachusetts  Us</t>
  </si>
  <si>
    <t>Reading  Massachusetts  Us</t>
  </si>
  <si>
    <t>Chicopee  Massachusetts  Us</t>
  </si>
  <si>
    <t>Amherst  Massachusetts  Us</t>
  </si>
  <si>
    <t>Franklin  Massachusetts  Us</t>
  </si>
  <si>
    <t>Ahmedabad  Gujarat  In</t>
  </si>
  <si>
    <t>Lincoln  Massachusetts  Us</t>
  </si>
  <si>
    <t>Braintree  Massachusetts  Us</t>
  </si>
  <si>
    <t>Bogota  Bogota  Co</t>
  </si>
  <si>
    <t>Belmont  Massachusetts  Us</t>
  </si>
  <si>
    <t>South Yarmouth  Massachusetts  Us</t>
  </si>
  <si>
    <t>Townsend  Massachusetts  Us</t>
  </si>
  <si>
    <t>Holyoke  Massachusetts  Us</t>
  </si>
  <si>
    <t>Mansfield  Massachusetts  Us</t>
  </si>
  <si>
    <t>Berlin  Massachusetts  Us</t>
  </si>
  <si>
    <t>Medford  Massachusetts  Us</t>
  </si>
  <si>
    <t>Norwood  Massachusetts  Us</t>
  </si>
  <si>
    <t>Springfield  Massachusetts  Us</t>
  </si>
  <si>
    <t>Marlborough  Massachusetts  Us</t>
  </si>
  <si>
    <t>Bedford  Massachusetts  Us</t>
  </si>
  <si>
    <t>Newton  Massachusetts  Us</t>
  </si>
  <si>
    <t>Roseau  Saint George  Dm</t>
  </si>
  <si>
    <t>Somerset  Massachusetts  Us</t>
  </si>
  <si>
    <t>Carolina  Puerto Rico  Pr</t>
  </si>
  <si>
    <t>Brockton  Massachusetts  Us</t>
  </si>
  <si>
    <t>Wrentham  Massachusetts  Us</t>
  </si>
  <si>
    <t>Milford  Massachusetts  Us</t>
  </si>
  <si>
    <t>Malden  Massachusetts  Us</t>
  </si>
  <si>
    <t>Busan  Busan  Kr</t>
  </si>
  <si>
    <t>Worcester  Massachusetts  Us</t>
  </si>
  <si>
    <t>Yarmouth  Massachusetts  Us</t>
  </si>
  <si>
    <t>Puebla  Puebla  Mx</t>
  </si>
  <si>
    <t>Juarez  Chihuahua  Mx</t>
  </si>
  <si>
    <t>Millbury  Massachusetts  Us</t>
  </si>
  <si>
    <t>Foxborough  Massachusetts  Us</t>
  </si>
  <si>
    <t>Oakham  Massachusetts  Us</t>
  </si>
  <si>
    <t>Beverly  Massachusetts  Us</t>
  </si>
  <si>
    <t>Shanghai  Shanghai Municipality  Cn</t>
  </si>
  <si>
    <t>North Adams  Massachusetts  Us</t>
  </si>
  <si>
    <t>Dracut  Massachusetts  Us</t>
  </si>
  <si>
    <t>Arlington  Massachusetts  Us</t>
  </si>
  <si>
    <t>Acton  Massachusetts  Us</t>
  </si>
  <si>
    <t>Kingston  Kingston  Jm</t>
  </si>
  <si>
    <t>Santiago  Santiago Province  Cl</t>
  </si>
  <si>
    <t>Port-Au-Prince  Haiti  Ht</t>
  </si>
  <si>
    <t>Holden  Massachusetts  Us</t>
  </si>
  <si>
    <t>Plymouth  Massachusetts  Us</t>
  </si>
  <si>
    <t>Bourne  Massachusetts  Us</t>
  </si>
  <si>
    <t>Holliston  Massachusetts  Us</t>
  </si>
  <si>
    <t>Northborough  Massachusetts  Us</t>
  </si>
  <si>
    <t>Salisbury  Massachusetts  Us</t>
  </si>
  <si>
    <t>Marblehead  Massachusetts  Us</t>
  </si>
  <si>
    <t>Agawam  Massachusetts  Us</t>
  </si>
  <si>
    <t>Hardwick  Massachusetts  Us</t>
  </si>
  <si>
    <t>Lakeville  Massachusetts  Us</t>
  </si>
  <si>
    <t>Portsmouth  Saint John Parish  Dm</t>
  </si>
  <si>
    <t>Douglas  Massachusetts  Us</t>
  </si>
  <si>
    <t>Westborough  Massachusetts  Us</t>
  </si>
  <si>
    <t>Webster  Massachusetts  Us</t>
  </si>
  <si>
    <t>Natick  Massachusetts  Us</t>
  </si>
  <si>
    <t>Woburn  Massachusetts  Us</t>
  </si>
  <si>
    <t>La Paz  Baja California  Mx</t>
  </si>
  <si>
    <t>Guatemala City  Guatemala  Gt</t>
  </si>
  <si>
    <t>Auburn  Massachusetts  Us</t>
  </si>
  <si>
    <t>Wellesley  Massachusetts  Us</t>
  </si>
  <si>
    <t>Riyadh  Riyadh  Sa</t>
  </si>
  <si>
    <t>Methuen  Massachusetts  Us</t>
  </si>
  <si>
    <t>Khamis Mushayt  Asir  Sa</t>
  </si>
  <si>
    <t>Sandwich  Massachusetts  Us</t>
  </si>
  <si>
    <t>Najran  Najran  Sa</t>
  </si>
  <si>
    <t>Hadley  Massachusetts  Us</t>
  </si>
  <si>
    <t>Dedham  Massachusetts  Us</t>
  </si>
  <si>
    <t>Rowley  Massachusetts  Us</t>
  </si>
  <si>
    <t>Smith Mills  Massachusetts  Us</t>
  </si>
  <si>
    <t>Melrose  Massachusetts  Us</t>
  </si>
  <si>
    <t>Rockport  Massachusetts  Us</t>
  </si>
  <si>
    <t>Stoneham  Massachusetts  Us</t>
  </si>
  <si>
    <t>Gaudalajara  Jalisco  Mx</t>
  </si>
  <si>
    <t>Danvers  Massachusetts  Us</t>
  </si>
  <si>
    <t>Fitchburg  Massachusetts  Us</t>
  </si>
  <si>
    <t>Hanson  Massachusetts  Us</t>
  </si>
  <si>
    <t>Canton  Massachusetts  Us</t>
  </si>
  <si>
    <t>West Concord  Massachusetts  Us</t>
  </si>
  <si>
    <t>Hingham  Massachusetts  Us</t>
  </si>
  <si>
    <t>Taunton  Massachusetts  Us</t>
  </si>
  <si>
    <t>Athens  Athens Prefecture  Gr</t>
  </si>
  <si>
    <t>Tegucigalpa  Francisco Moraz√°N  Hn</t>
  </si>
  <si>
    <t>Kingston  Massachusetts  Us</t>
  </si>
  <si>
    <t>Belchertown  Massachusetts  Us</t>
  </si>
  <si>
    <t>Paxton  Massachusetts  Us</t>
  </si>
  <si>
    <t>Mashpee  Massachusetts  Us</t>
  </si>
  <si>
    <t>Southbridge  Massachusetts  Us</t>
  </si>
  <si>
    <t>Shrewsbury  Massachusetts  Us</t>
  </si>
  <si>
    <t>Lima  Lima Province  Pe</t>
  </si>
  <si>
    <t>Burlington  Massachusetts  Us</t>
  </si>
  <si>
    <t>Revere  Massachusetts  Us</t>
  </si>
  <si>
    <t>Leominster  Massachusetts  Us</t>
  </si>
  <si>
    <t>Holbrook  Massachusetts  Us</t>
  </si>
  <si>
    <t>Gloucester  Massachusetts  Us</t>
  </si>
  <si>
    <t>Quincy  Massachusetts  Us</t>
  </si>
  <si>
    <t>Rutland  Massachusetts  Us</t>
  </si>
  <si>
    <t>Caguas  Puerto Rico  Pr</t>
  </si>
  <si>
    <t>East Longmeadow  Massachusetts  Us</t>
  </si>
  <si>
    <t>Swampscott  Massachusetts  Us</t>
  </si>
  <si>
    <t>Boxford  Massachusetts  Us</t>
  </si>
  <si>
    <t>Topsfield  Massachusetts  Us</t>
  </si>
  <si>
    <t>Plainville  Massachusetts  Us</t>
  </si>
  <si>
    <t>Barnstable  Massachusetts  Us</t>
  </si>
  <si>
    <t>North Attleborough  Massachusetts  Us</t>
  </si>
  <si>
    <t>Lynn  Massachusetts  Us</t>
  </si>
  <si>
    <t>Weymouth  Massachusetts  Us</t>
  </si>
  <si>
    <t>Lawrence  Massachusetts  Us</t>
  </si>
  <si>
    <t>Chelmsford  Massachusetts  Us</t>
  </si>
  <si>
    <t>Wesley  Saint Andrew Parish  Dm</t>
  </si>
  <si>
    <t>Easton  Massachusetts  Us</t>
  </si>
  <si>
    <t>Athol  Massachusetts  Us</t>
  </si>
  <si>
    <t>Sturbridge  Massachusetts  Us</t>
  </si>
  <si>
    <t>Weston  Massachusetts  Us</t>
  </si>
  <si>
    <t>East Brookfield  Massachusetts  Us</t>
  </si>
  <si>
    <t>Havana  Havana  Cu</t>
  </si>
  <si>
    <t>Tewksbury  Massachusetts  Us</t>
  </si>
  <si>
    <t>Sudbury  Massachusetts  Us</t>
  </si>
  <si>
    <t>Fall River  Massachusetts  Us</t>
  </si>
  <si>
    <t>Raynham  Massachusetts  Us</t>
  </si>
  <si>
    <t>North Andover  Massachusetts  Us</t>
  </si>
  <si>
    <t>Rehoboth  Massachusetts  Us</t>
  </si>
  <si>
    <t>East Bridgewater  Massachusetts  Us</t>
  </si>
  <si>
    <t>Northampton  Massachusetts  Us</t>
  </si>
  <si>
    <t>Delhi  Delhi  In</t>
  </si>
  <si>
    <t>Peabody  Massachusetts  Us</t>
  </si>
  <si>
    <t>Stoughton  Massachusetts  Us</t>
  </si>
  <si>
    <t>Needham  Massachusetts  Us</t>
  </si>
  <si>
    <t>Boxborough  Massachusetts  Us</t>
  </si>
  <si>
    <t>Mendon  Massachusetts  Us</t>
  </si>
  <si>
    <t>Seoul  Seoul  Kr</t>
  </si>
  <si>
    <t>Framingham  Massachusetts  Us</t>
  </si>
  <si>
    <t>Pinehurst  Massachusetts  Us</t>
  </si>
  <si>
    <t>Palmer  Massachusetts  Us</t>
  </si>
  <si>
    <t>Rockland  Massachusetts  Us</t>
  </si>
  <si>
    <t>Lancaster  Massachusetts  Us</t>
  </si>
  <si>
    <t>Ponce  Puerto Rico  Pr</t>
  </si>
  <si>
    <t>Tyngsborough  Massachusetts  Us</t>
  </si>
  <si>
    <t>Ashland  Massachusetts  Us</t>
  </si>
  <si>
    <t>Osaka  Osaka  Jp</t>
  </si>
  <si>
    <t>Westfield  Massachusetts  Us</t>
  </si>
  <si>
    <t>Wilbraham  Massachusetts  Us</t>
  </si>
  <si>
    <t>Dighton  Massachusetts  Us</t>
  </si>
  <si>
    <t>Pocasset  Massachusetts  Us</t>
  </si>
  <si>
    <t>Lanesborough  Massachusetts  Us</t>
  </si>
  <si>
    <t>Granby  Massachusetts  Us</t>
  </si>
  <si>
    <t>Andover  Massachusetts  Us</t>
  </si>
  <si>
    <t>Milton  Massachusetts  Us</t>
  </si>
  <si>
    <t>Great Barrington  Massachusetts  Us</t>
  </si>
  <si>
    <t>Shirley  Massachusetts  Us</t>
  </si>
  <si>
    <t>Dalton  Massachusetts  Us</t>
  </si>
  <si>
    <t>Leicester  Massachusetts  Us</t>
  </si>
  <si>
    <t>Norton  Massachusetts  Us</t>
  </si>
  <si>
    <t>Brewster  Massachusetts  Us</t>
  </si>
  <si>
    <t>Cambridge  Massachusetts  Us</t>
  </si>
  <si>
    <t>Nantucket  Massachusetts  Us</t>
  </si>
  <si>
    <t>Southborough  Massachusetts  Us</t>
  </si>
  <si>
    <t>South Lancaster  Massachusetts  Us</t>
  </si>
  <si>
    <t>Brimfield  Massachusetts  Us</t>
  </si>
  <si>
    <t>Bridgewater  Massachusetts  Us</t>
  </si>
  <si>
    <t>Billerica  Massachusetts  Us</t>
  </si>
  <si>
    <t>Harwich Port  Massachusetts  Us</t>
  </si>
  <si>
    <t>Santo Domingo  National District  Do</t>
  </si>
  <si>
    <t>Salisbury  Saint Joseph Parish  Dm</t>
  </si>
  <si>
    <t>Clarksburg  Massachusetts  Us</t>
  </si>
  <si>
    <t>Wellfleet  Massachusetts  Us</t>
  </si>
  <si>
    <t>Ashburnham  Massachusetts  Us</t>
  </si>
  <si>
    <t>Westwood  Massachusetts  Us</t>
  </si>
  <si>
    <t>Manchester-By-The-Sea  Massachusetts  Us</t>
  </si>
  <si>
    <t>Cologne  North Rhine-Westphalia  De</t>
  </si>
  <si>
    <t>Hamburg  Hamburg  De</t>
  </si>
  <si>
    <t>Ocean Bluff-Brant Rock  Massachusetts  Us</t>
  </si>
  <si>
    <t>Uxbridge  Massachusetts  Us</t>
  </si>
  <si>
    <t>Charlton  Massachusetts  Us</t>
  </si>
  <si>
    <t>Amherst Center  Massachusetts  Us</t>
  </si>
  <si>
    <t>San Jose  San Jose  Cr</t>
  </si>
  <si>
    <t>Palermo  Sicily  It</t>
  </si>
  <si>
    <t>Everett  Massachusetts  Us</t>
  </si>
  <si>
    <t>Saugus  Massachusetts  Us</t>
  </si>
  <si>
    <t>San Salvador  El Salvador  Sv</t>
  </si>
  <si>
    <t>Ho Chi Minh City  Gia Ƒê·ªãnh  Vn</t>
  </si>
  <si>
    <t>Buenos Aires  Ciudad De Buenos Aires  Ar</t>
  </si>
  <si>
    <t>New Salem  Massachusetts  Us</t>
  </si>
  <si>
    <t>Spencer  Massachusetts  Us</t>
  </si>
  <si>
    <t>Millville  Massachusetts  Us</t>
  </si>
  <si>
    <t>Edgartown  Massachusetts  Us</t>
  </si>
  <si>
    <t>Wayland  Massachusetts  Us</t>
  </si>
  <si>
    <t>Hopkinton  Massachusetts  Us</t>
  </si>
  <si>
    <t>West Boylston  Massachusetts  Us</t>
  </si>
  <si>
    <t>Hubbardston  Massachusetts  Us</t>
  </si>
  <si>
    <t>Norwell  Massachusetts  Us</t>
  </si>
  <si>
    <t>East Harwich  Massachusetts  Us</t>
  </si>
  <si>
    <t>Abington  Massachusetts  Us</t>
  </si>
  <si>
    <t>Cohasset  Massachusetts  Us</t>
  </si>
  <si>
    <t>Haiphong  Ki·∫Øn An  Vn</t>
  </si>
  <si>
    <t>Medfield  Massachusetts  Us</t>
  </si>
  <si>
    <t>Wareham  Massachusetts  Us</t>
  </si>
  <si>
    <t>North Reading  Massachusetts  Us</t>
  </si>
  <si>
    <t>Santiago De Los Caballeros  Santiago  Do</t>
  </si>
  <si>
    <t>Southwick  Massachusetts  Us</t>
  </si>
  <si>
    <t>Middleborough  Massachusetts  Us</t>
  </si>
  <si>
    <t>Caracas  Capital District  Ve</t>
  </si>
  <si>
    <t>North Pembroke  Massachusetts  Us</t>
  </si>
  <si>
    <t>West Springfield  Massachusetts  Us</t>
  </si>
  <si>
    <t>Norfolk  Massachusetts  Us</t>
  </si>
  <si>
    <t>Orleans  Massachusetts  Us</t>
  </si>
  <si>
    <t>Holland  Massachusetts  Us</t>
  </si>
  <si>
    <t>Walpole  Massachusetts  Us</t>
  </si>
  <si>
    <t>Medway  Massachusetts  Us</t>
  </si>
  <si>
    <t>Falmouth  Massachusetts  Us</t>
  </si>
  <si>
    <t>Mexico City  Mexico City  Mx</t>
  </si>
  <si>
    <t>Westport  Massachusetts  Us</t>
  </si>
  <si>
    <t>Montague  Massachusetts  Us</t>
  </si>
  <si>
    <t>Berlin  Berlin  De</t>
  </si>
  <si>
    <t>Marshfield  Massachusetts  Us</t>
  </si>
  <si>
    <t>Marshfield Hills  Massachusetts  Us</t>
  </si>
  <si>
    <t>Newburyport  Massachusetts  Us</t>
  </si>
  <si>
    <t>Sharon  Massachusetts  Us</t>
  </si>
  <si>
    <t>Pittsfield  Massachusetts  Us</t>
  </si>
  <si>
    <t>Northbridge  Massachusetts  Us</t>
  </si>
  <si>
    <t>Colrain  Massachusetts  Us</t>
  </si>
  <si>
    <t>Winchendon  Massachusetts  Us</t>
  </si>
  <si>
    <t>Groton  Massachusetts  Us</t>
  </si>
  <si>
    <t>Westford  Massachusetts  Us</t>
  </si>
  <si>
    <t>Merrimac  Massachusetts  Us</t>
  </si>
  <si>
    <t>Groveland  Massachusetts  Us</t>
  </si>
  <si>
    <t>Wareham Center  Massachusetts  Us</t>
  </si>
  <si>
    <t>Panama City  Panama  Pa</t>
  </si>
  <si>
    <t>Bliss Corner  Massachusetts  Us</t>
  </si>
  <si>
    <t>Whitinsville  Massachusetts  Us</t>
  </si>
  <si>
    <t>Bellingham  Massachusetts  Us</t>
  </si>
  <si>
    <t>Fiskdale  Massachusetts  Us</t>
  </si>
  <si>
    <t>Georgetown  Massachusetts  Us</t>
  </si>
  <si>
    <t>Dartmouth  Massachusetts  Us</t>
  </si>
  <si>
    <t>Longmeadow  Massachusetts  Us</t>
  </si>
  <si>
    <t>Dennis  Massachusetts  Us</t>
  </si>
  <si>
    <t>South Amherst  Massachusetts  Us</t>
  </si>
  <si>
    <t>Dudley  Massachusetts  Us</t>
  </si>
  <si>
    <t>Millis-Clicquot  Massachusetts  Us</t>
  </si>
  <si>
    <t>Granville  Massachusetts  Us</t>
  </si>
  <si>
    <t>Hanoi  H√† Ƒê√¥Ng  Vn</t>
  </si>
  <si>
    <t>Easthampton  Massachusetts  Us</t>
  </si>
  <si>
    <t>Yekaterinburg  Sverdlovsk Oblast  Ru</t>
  </si>
  <si>
    <t>Weweantic  Massachusetts  Us</t>
  </si>
  <si>
    <t>Grafton  Massachusetts  Us</t>
  </si>
  <si>
    <t>Nahant  Massachusetts  Us</t>
  </si>
  <si>
    <t>Hanover  Massachusetts  Us</t>
  </si>
  <si>
    <t>Chesterfield  Massachusetts  Us</t>
  </si>
  <si>
    <t>Marigot  Saint Andrew Parish  Dm</t>
  </si>
  <si>
    <t>Hudson  Massachusetts  Us</t>
  </si>
  <si>
    <t>North Brookfield  Massachusetts  Us</t>
  </si>
  <si>
    <t>Monson Center  Massachusetts  Us</t>
  </si>
  <si>
    <t>Paris  Ile-De-France  Fr</t>
  </si>
  <si>
    <t>Whitman  Massachusetts  Us</t>
  </si>
  <si>
    <t>Halifax  Massachusetts  Us</t>
  </si>
  <si>
    <t>Forestdale  Massachusetts  Us</t>
  </si>
  <si>
    <t>Duxbury  Massachusetts  Us</t>
  </si>
  <si>
    <t>Marseille  Provence-Alpes-Cote D'Azur  Fr</t>
  </si>
  <si>
    <t>Chongqing  Chongqing Municipality  Cn</t>
  </si>
  <si>
    <t>North Scituate  Massachusetts  Us</t>
  </si>
  <si>
    <t>Lexington  Massachusetts  Us</t>
  </si>
  <si>
    <t>Rome  Lazio  It</t>
  </si>
  <si>
    <t>Adams  Massachusetts  Us</t>
  </si>
  <si>
    <t>Harwich  Massachusetts  Us</t>
  </si>
  <si>
    <t>Acushnet  Massachusetts  Us</t>
  </si>
  <si>
    <t>West Newbury  Massachusetts  Us</t>
  </si>
  <si>
    <t>Hyderabad  Andhra Pradesh  In</t>
  </si>
  <si>
    <t>Wales  Massachusetts  Us</t>
  </si>
  <si>
    <t>Ware  Massachusetts  Us</t>
  </si>
  <si>
    <t>Templeton  Massachusetts  Us</t>
  </si>
  <si>
    <t>865 Mclaughlin Underpass Apt 63</t>
  </si>
  <si>
    <t>418 Vonrueden Lodge Apt 89</t>
  </si>
  <si>
    <t>664 Mclaughlin Boulevard</t>
  </si>
  <si>
    <t>320 Casper Frontage Road Apt 41</t>
  </si>
  <si>
    <t>882 Mcglynn Estate</t>
  </si>
  <si>
    <t>721 Mcglynn Landing Suite 69</t>
  </si>
  <si>
    <t>424 Mclaughlin Dale Unit 42</t>
  </si>
  <si>
    <t>626 Gusikowski Frontage Road</t>
  </si>
  <si>
    <t>905 Mcclure Harbor Suite 50</t>
  </si>
  <si>
    <t>863 Weimann Frontage Road</t>
  </si>
  <si>
    <t>340 Macgyver Stravenue</t>
  </si>
  <si>
    <t>135 Schuppe Frontage Road</t>
  </si>
  <si>
    <t>764 Rutherford Frontage Road</t>
  </si>
  <si>
    <t>344 Dubuque Port Apt 60</t>
  </si>
  <si>
    <t>494 Mayer Frontage Road</t>
  </si>
  <si>
    <t>1083 Berge Frontage Road</t>
  </si>
  <si>
    <t>980 Vonrueden Trailer</t>
  </si>
  <si>
    <t>687 Veum Frontage Road Suite 49</t>
  </si>
  <si>
    <t>420 Graham Frontage Road</t>
  </si>
  <si>
    <t>449 Dubuque Route Unit 18</t>
  </si>
  <si>
    <t>577 Mclaughlin Quay</t>
  </si>
  <si>
    <t>867 Mclaughlin Annex</t>
  </si>
  <si>
    <t>652 Bradtke Frontage Road Suite 80</t>
  </si>
  <si>
    <t>134 Mcdermott Overpass Suite 73</t>
  </si>
  <si>
    <t>952 Wyman Frontage Road Suite 59</t>
  </si>
  <si>
    <t>617 Macgyver Pathway</t>
  </si>
  <si>
    <t>BIRTH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</si>
</sst>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14" fontId="16" fillId="33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2C54-FA2F-4FFD-ADB7-22E82278B466}">
  <dimension ref="A1:T975"/>
  <sheetViews>
    <sheetView tabSelected="1" workbookViewId="0">
      <selection activeCell="C2" sqref="C2:C4 C7:C13 C15:C31 C34:C40 C42:C47 C50 C52 C55 C57:C61 C63:C69 C71 C73:C75 C77 C79:C85 C87:C90 C92 C94:C102 C107:C110 C112:C120 C122:C132 C134 C136:C141 C143 C145:C150 C152:C153 C155:C159 C161:C165 C167:C176 C179 C181:C182 C184:C189 C191:C192 C194 C196:C199 C201:C225 C227:C235 C237:C238 C240:C243 C245:C250 C252:C259 C262:C297 C299:C306 C308:C310 C313:C316 C319:C331 C333:C336 C340:C343 C345:C349 C351:C359 C361:C363 C365:C383 C385:C392 C394:C396 C398:C411 C414:C426 C428:C439 C444:C447 C449:C451 C453:C456 C458:C470 C472:C480 C482 C484:C487 C489:C502 C504:C508 C510:C515 C517:C524 C526:C530 C532:C535 C537 C540:C561 C563:C566 C568:C570 C572:C574 C576:C584 C587 C589:C601 C603:C617 C619:C621 C623 C625 C627:C629 C631:C636 C638:C643 C645 C647:C657 C660:C662 C664:C673 C675:C691 C693 C695 C699 C701:C708 C710:C711 C713:C724 C726:C735 C738:C755 C757 C759 C762:C764 C766 C770 C772:C777 C779 C781:C790 C792:C802 C804:C807 C809:C815 C817:C821 C823:C837 C839:C845 C847:C848 C850:C854 C856 C858 C860:C886 C888:C896 C898 C900:C909 C911:C916 C918:C923 C926:C932 C934:C935 C937:C950 C952:C964 C967:C968 C970:C975"/>
    </sheetView>
  </sheetViews>
  <sheetFormatPr defaultRowHeight="14.4" x14ac:dyDescent="0.3"/>
  <cols>
    <col min="1" max="1" width="14" customWidth="1"/>
    <col min="2" max="2" width="15.5546875" style="1" customWidth="1"/>
    <col min="3" max="3" width="15.21875" style="1" customWidth="1"/>
    <col min="5" max="5" width="17.5546875" customWidth="1"/>
    <col min="6" max="6" width="15.6640625" customWidth="1"/>
    <col min="8" max="8" width="14.88671875" customWidth="1"/>
    <col min="13" max="13" width="19.33203125" customWidth="1"/>
    <col min="14" max="14" width="19.5546875" customWidth="1"/>
    <col min="18" max="18" width="8.88671875" customWidth="1"/>
  </cols>
  <sheetData>
    <row r="1" spans="1:20" s="2" customFormat="1" x14ac:dyDescent="0.3">
      <c r="A1" s="3" t="s">
        <v>0</v>
      </c>
      <c r="B1" s="4" t="s">
        <v>3350</v>
      </c>
      <c r="C1" s="4" t="s">
        <v>3349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3718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</row>
    <row r="2" spans="1:20" x14ac:dyDescent="0.3">
      <c r="A2" s="5" t="s">
        <v>17</v>
      </c>
      <c r="B2" s="6">
        <v>28203</v>
      </c>
      <c r="C2" s="6" t="str">
        <f t="shared" ref="C2:C4" si="0">"Active/Unavailable"</f>
        <v>Active/Unavailable</v>
      </c>
      <c r="D2" s="5" t="s">
        <v>18</v>
      </c>
      <c r="E2" s="5" t="s">
        <v>19</v>
      </c>
      <c r="F2" s="5" t="s">
        <v>20</v>
      </c>
      <c r="G2" s="5" t="str">
        <f t="shared" ref="G2:G33" si="1">"Not Available"</f>
        <v>Not Available</v>
      </c>
      <c r="H2" s="5" t="s">
        <v>21</v>
      </c>
      <c r="I2" s="5" t="s">
        <v>22</v>
      </c>
      <c r="J2" s="5" t="s">
        <v>3387</v>
      </c>
      <c r="K2" s="5" t="s">
        <v>3393</v>
      </c>
      <c r="L2" s="5" t="s">
        <v>23</v>
      </c>
      <c r="M2" s="5" t="s">
        <v>3395</v>
      </c>
      <c r="N2" s="5" t="s">
        <v>24</v>
      </c>
      <c r="O2" s="5" t="s">
        <v>25</v>
      </c>
      <c r="P2" s="5" t="s">
        <v>26</v>
      </c>
      <c r="Q2" s="5" t="s">
        <v>27</v>
      </c>
      <c r="R2" s="5">
        <v>2186</v>
      </c>
      <c r="S2" s="5">
        <v>42.290937381211201</v>
      </c>
      <c r="T2" s="5">
        <v>-70.975503059999994</v>
      </c>
    </row>
    <row r="3" spans="1:20" x14ac:dyDescent="0.3">
      <c r="A3" s="5" t="s">
        <v>28</v>
      </c>
      <c r="B3" s="6">
        <v>14660</v>
      </c>
      <c r="C3" s="6" t="str">
        <f t="shared" si="0"/>
        <v>Active/Unavailable</v>
      </c>
      <c r="D3" s="5" t="s">
        <v>29</v>
      </c>
      <c r="E3" s="5" t="s">
        <v>30</v>
      </c>
      <c r="F3" s="5" t="s">
        <v>31</v>
      </c>
      <c r="G3" s="5" t="str">
        <f t="shared" si="1"/>
        <v>Not Available</v>
      </c>
      <c r="H3" s="5" t="str">
        <f t="shared" ref="H3:H7" si="2">"Not Available"</f>
        <v>Not Available</v>
      </c>
      <c r="I3" s="5" t="s">
        <v>22</v>
      </c>
      <c r="J3" s="5" t="s">
        <v>3387</v>
      </c>
      <c r="K3" s="5" t="s">
        <v>3393</v>
      </c>
      <c r="L3" s="5" t="s">
        <v>22</v>
      </c>
      <c r="M3" s="5" t="s">
        <v>3396</v>
      </c>
      <c r="N3" s="5" t="s">
        <v>32</v>
      </c>
      <c r="O3" s="5" t="s">
        <v>33</v>
      </c>
      <c r="P3" s="5" t="s">
        <v>26</v>
      </c>
      <c r="Q3" s="5" t="s">
        <v>34</v>
      </c>
      <c r="R3" s="5">
        <v>2135</v>
      </c>
      <c r="S3" s="5">
        <v>42.308831197562498</v>
      </c>
      <c r="T3" s="5">
        <v>-71.063161600000001</v>
      </c>
    </row>
    <row r="4" spans="1:20" x14ac:dyDescent="0.3">
      <c r="A4" s="5" t="s">
        <v>35</v>
      </c>
      <c r="B4" s="6">
        <v>21340</v>
      </c>
      <c r="C4" s="6" t="str">
        <f t="shared" si="0"/>
        <v>Active/Unavailable</v>
      </c>
      <c r="D4" s="5" t="s">
        <v>29</v>
      </c>
      <c r="E4" s="5" t="s">
        <v>36</v>
      </c>
      <c r="F4" s="5" t="s">
        <v>37</v>
      </c>
      <c r="G4" s="5" t="str">
        <f t="shared" si="1"/>
        <v>Not Available</v>
      </c>
      <c r="H4" s="5" t="str">
        <f t="shared" si="2"/>
        <v>Not Available</v>
      </c>
      <c r="I4" s="5" t="s">
        <v>22</v>
      </c>
      <c r="J4" s="5" t="s">
        <v>3387</v>
      </c>
      <c r="K4" s="5" t="s">
        <v>3393</v>
      </c>
      <c r="L4" s="5" t="s">
        <v>22</v>
      </c>
      <c r="M4" s="5" t="s">
        <v>3397</v>
      </c>
      <c r="N4" s="5" t="s">
        <v>38</v>
      </c>
      <c r="O4" s="5" t="s">
        <v>25</v>
      </c>
      <c r="P4" s="5" t="s">
        <v>26</v>
      </c>
      <c r="Q4" s="5" t="s">
        <v>27</v>
      </c>
      <c r="R4" s="5">
        <v>2170</v>
      </c>
      <c r="S4" s="5">
        <v>42.265176848884998</v>
      </c>
      <c r="T4" s="5">
        <v>-70.967085080000004</v>
      </c>
    </row>
    <row r="5" spans="1:20" x14ac:dyDescent="0.3">
      <c r="A5" s="5" t="s">
        <v>39</v>
      </c>
      <c r="B5" s="6">
        <v>10587</v>
      </c>
      <c r="C5" s="6">
        <v>43007</v>
      </c>
      <c r="D5" s="5" t="s">
        <v>29</v>
      </c>
      <c r="E5" s="5" t="s">
        <v>40</v>
      </c>
      <c r="F5" s="5" t="s">
        <v>41</v>
      </c>
      <c r="G5" s="5" t="str">
        <f t="shared" si="1"/>
        <v>Not Available</v>
      </c>
      <c r="H5" s="5" t="str">
        <f t="shared" si="2"/>
        <v>Not Available</v>
      </c>
      <c r="I5" s="5" t="s">
        <v>22</v>
      </c>
      <c r="J5" s="5" t="s">
        <v>3387</v>
      </c>
      <c r="K5" s="5" t="s">
        <v>3394</v>
      </c>
      <c r="L5" s="5" t="s">
        <v>22</v>
      </c>
      <c r="M5" s="5" t="s">
        <v>3398</v>
      </c>
      <c r="N5" s="5" t="s">
        <v>42</v>
      </c>
      <c r="O5" s="5" t="s">
        <v>33</v>
      </c>
      <c r="P5" s="5" t="s">
        <v>26</v>
      </c>
      <c r="Q5" s="5" t="s">
        <v>34</v>
      </c>
      <c r="R5" s="5">
        <v>2118</v>
      </c>
      <c r="S5" s="5">
        <v>42.334303740740502</v>
      </c>
      <c r="T5" s="5">
        <v>-71.0668012</v>
      </c>
    </row>
    <row r="6" spans="1:20" x14ac:dyDescent="0.3">
      <c r="A6" s="5" t="s">
        <v>43</v>
      </c>
      <c r="B6" s="6">
        <v>10587</v>
      </c>
      <c r="C6" s="6">
        <v>41693</v>
      </c>
      <c r="D6" s="5" t="s">
        <v>29</v>
      </c>
      <c r="E6" s="5" t="s">
        <v>44</v>
      </c>
      <c r="F6" s="5" t="s">
        <v>45</v>
      </c>
      <c r="G6" s="5" t="str">
        <f t="shared" si="1"/>
        <v>Not Available</v>
      </c>
      <c r="H6" s="5" t="str">
        <f t="shared" si="2"/>
        <v>Not Available</v>
      </c>
      <c r="I6" s="5" t="s">
        <v>22</v>
      </c>
      <c r="J6" s="5" t="s">
        <v>3387</v>
      </c>
      <c r="K6" s="5" t="s">
        <v>3394</v>
      </c>
      <c r="L6" s="5" t="s">
        <v>22</v>
      </c>
      <c r="M6" s="5" t="s">
        <v>3399</v>
      </c>
      <c r="N6" s="5" t="s">
        <v>46</v>
      </c>
      <c r="O6" s="5" t="s">
        <v>33</v>
      </c>
      <c r="P6" s="5" t="s">
        <v>26</v>
      </c>
      <c r="Q6" s="5" t="s">
        <v>34</v>
      </c>
      <c r="R6" s="5">
        <v>2125</v>
      </c>
      <c r="S6" s="5">
        <v>42.346771403899197</v>
      </c>
      <c r="T6" s="5">
        <v>-71.058812970000005</v>
      </c>
    </row>
    <row r="7" spans="1:20" x14ac:dyDescent="0.3">
      <c r="A7" s="7" t="s">
        <v>47</v>
      </c>
      <c r="B7" s="6">
        <v>10587</v>
      </c>
      <c r="C7" s="6" t="str">
        <f t="shared" ref="C7:C13" si="3">"Active/Unavailable"</f>
        <v>Active/Unavailable</v>
      </c>
      <c r="D7" s="5" t="s">
        <v>29</v>
      </c>
      <c r="E7" s="5" t="s">
        <v>48</v>
      </c>
      <c r="F7" s="5" t="s">
        <v>49</v>
      </c>
      <c r="G7" s="5" t="str">
        <f t="shared" si="1"/>
        <v>Not Available</v>
      </c>
      <c r="H7" s="5" t="str">
        <f t="shared" si="2"/>
        <v>Not Available</v>
      </c>
      <c r="I7" s="5" t="s">
        <v>22</v>
      </c>
      <c r="J7" s="5" t="s">
        <v>3387</v>
      </c>
      <c r="K7" s="5" t="s">
        <v>3394</v>
      </c>
      <c r="L7" s="5" t="s">
        <v>22</v>
      </c>
      <c r="M7" s="5" t="s">
        <v>3400</v>
      </c>
      <c r="N7" s="5" t="s">
        <v>50</v>
      </c>
      <c r="O7" s="5" t="s">
        <v>33</v>
      </c>
      <c r="P7" s="5" t="s">
        <v>26</v>
      </c>
      <c r="Q7" s="5" t="s">
        <v>34</v>
      </c>
      <c r="R7" s="5">
        <v>2467</v>
      </c>
      <c r="S7" s="5">
        <v>42.371026469999997</v>
      </c>
      <c r="T7" s="5">
        <v>-71.11810672</v>
      </c>
    </row>
    <row r="8" spans="1:20" x14ac:dyDescent="0.3">
      <c r="A8" s="5" t="s">
        <v>51</v>
      </c>
      <c r="B8" s="6">
        <v>21132</v>
      </c>
      <c r="C8" s="6" t="str">
        <f t="shared" si="3"/>
        <v>Active/Unavailable</v>
      </c>
      <c r="D8" s="5" t="s">
        <v>18</v>
      </c>
      <c r="E8" s="5" t="s">
        <v>52</v>
      </c>
      <c r="F8" s="5" t="s">
        <v>53</v>
      </c>
      <c r="G8" s="5" t="str">
        <f t="shared" si="1"/>
        <v>Not Available</v>
      </c>
      <c r="H8" s="5" t="s">
        <v>54</v>
      </c>
      <c r="I8" s="5" t="s">
        <v>22</v>
      </c>
      <c r="J8" s="5" t="s">
        <v>3388</v>
      </c>
      <c r="K8" s="5" t="s">
        <v>3393</v>
      </c>
      <c r="L8" s="5" t="s">
        <v>23</v>
      </c>
      <c r="M8" s="5" t="s">
        <v>3401</v>
      </c>
      <c r="N8" s="5" t="s">
        <v>55</v>
      </c>
      <c r="O8" s="5" t="s">
        <v>56</v>
      </c>
      <c r="P8" s="5" t="s">
        <v>26</v>
      </c>
      <c r="Q8" s="5" t="s">
        <v>57</v>
      </c>
      <c r="R8" s="5">
        <v>2142</v>
      </c>
      <c r="S8" s="5">
        <v>42.358927605527803</v>
      </c>
      <c r="T8" s="5">
        <v>-71.156223609999998</v>
      </c>
    </row>
    <row r="9" spans="1:20" x14ac:dyDescent="0.3">
      <c r="A9" s="5" t="s">
        <v>58</v>
      </c>
      <c r="B9" s="6">
        <v>26477</v>
      </c>
      <c r="C9" s="6" t="str">
        <f t="shared" si="3"/>
        <v>Active/Unavailable</v>
      </c>
      <c r="D9" s="5" t="s">
        <v>29</v>
      </c>
      <c r="E9" s="5" t="s">
        <v>59</v>
      </c>
      <c r="F9" s="5" t="s">
        <v>60</v>
      </c>
      <c r="G9" s="5" t="str">
        <f t="shared" si="1"/>
        <v>Not Available</v>
      </c>
      <c r="H9" s="5" t="str">
        <f t="shared" ref="H9:H12" si="4">"Not Available"</f>
        <v>Not Available</v>
      </c>
      <c r="I9" s="5" t="s">
        <v>22</v>
      </c>
      <c r="J9" s="5" t="s">
        <v>3387</v>
      </c>
      <c r="K9" s="5" t="s">
        <v>3393</v>
      </c>
      <c r="L9" s="5" t="s">
        <v>22</v>
      </c>
      <c r="M9" s="5" t="s">
        <v>3402</v>
      </c>
      <c r="N9" s="5" t="s">
        <v>61</v>
      </c>
      <c r="O9" s="5" t="s">
        <v>25</v>
      </c>
      <c r="P9" s="5" t="s">
        <v>26</v>
      </c>
      <c r="Q9" s="5" t="s">
        <v>27</v>
      </c>
      <c r="R9" s="5">
        <v>2170</v>
      </c>
      <c r="S9" s="5">
        <v>42.297903944576603</v>
      </c>
      <c r="T9" s="5">
        <v>-71.015983039999995</v>
      </c>
    </row>
    <row r="10" spans="1:20" x14ac:dyDescent="0.3">
      <c r="A10" s="5" t="s">
        <v>62</v>
      </c>
      <c r="B10" s="6">
        <v>19789</v>
      </c>
      <c r="C10" s="6" t="str">
        <f t="shared" si="3"/>
        <v>Active/Unavailable</v>
      </c>
      <c r="D10" s="5" t="s">
        <v>29</v>
      </c>
      <c r="E10" s="5" t="s">
        <v>63</v>
      </c>
      <c r="F10" s="5" t="s">
        <v>64</v>
      </c>
      <c r="G10" s="5" t="str">
        <f t="shared" si="1"/>
        <v>Not Available</v>
      </c>
      <c r="H10" s="5" t="str">
        <f t="shared" si="4"/>
        <v>Not Available</v>
      </c>
      <c r="I10" s="5" t="s">
        <v>65</v>
      </c>
      <c r="J10" s="5" t="s">
        <v>3389</v>
      </c>
      <c r="K10" s="5" t="s">
        <v>3394</v>
      </c>
      <c r="L10" s="5" t="s">
        <v>22</v>
      </c>
      <c r="M10" s="5" t="s">
        <v>3400</v>
      </c>
      <c r="N10" s="5" t="s">
        <v>66</v>
      </c>
      <c r="O10" s="5" t="s">
        <v>33</v>
      </c>
      <c r="P10" s="5" t="s">
        <v>26</v>
      </c>
      <c r="Q10" s="5" t="s">
        <v>34</v>
      </c>
      <c r="R10" s="5">
        <v>2126</v>
      </c>
      <c r="S10" s="5">
        <v>42.384084142020903</v>
      </c>
      <c r="T10" s="5">
        <v>-71.100689200000005</v>
      </c>
    </row>
    <row r="11" spans="1:20" x14ac:dyDescent="0.3">
      <c r="A11" s="5" t="s">
        <v>67</v>
      </c>
      <c r="B11" s="6">
        <v>10053</v>
      </c>
      <c r="C11" s="6" t="str">
        <f t="shared" si="3"/>
        <v>Active/Unavailable</v>
      </c>
      <c r="D11" s="5" t="s">
        <v>29</v>
      </c>
      <c r="E11" s="5" t="s">
        <v>68</v>
      </c>
      <c r="F11" s="5" t="s">
        <v>69</v>
      </c>
      <c r="G11" s="5" t="str">
        <f t="shared" si="1"/>
        <v>Not Available</v>
      </c>
      <c r="H11" s="5" t="str">
        <f t="shared" si="4"/>
        <v>Not Available</v>
      </c>
      <c r="I11" s="5" t="s">
        <v>22</v>
      </c>
      <c r="J11" s="5" t="s">
        <v>3390</v>
      </c>
      <c r="K11" s="5" t="s">
        <v>3394</v>
      </c>
      <c r="L11" s="5" t="s">
        <v>22</v>
      </c>
      <c r="M11" s="5" t="s">
        <v>3403</v>
      </c>
      <c r="N11" s="5" t="s">
        <v>70</v>
      </c>
      <c r="O11" s="5" t="s">
        <v>33</v>
      </c>
      <c r="P11" s="5" t="s">
        <v>26</v>
      </c>
      <c r="Q11" s="5" t="s">
        <v>34</v>
      </c>
      <c r="R11" s="5">
        <v>2111</v>
      </c>
      <c r="S11" s="5">
        <v>42.358519313454799</v>
      </c>
      <c r="T11" s="5">
        <v>-71.078597590000001</v>
      </c>
    </row>
    <row r="12" spans="1:20" x14ac:dyDescent="0.3">
      <c r="A12" s="5" t="s">
        <v>71</v>
      </c>
      <c r="B12" s="6">
        <v>12182</v>
      </c>
      <c r="C12" s="6" t="str">
        <f t="shared" si="3"/>
        <v>Active/Unavailable</v>
      </c>
      <c r="D12" s="5" t="s">
        <v>29</v>
      </c>
      <c r="E12" s="5" t="s">
        <v>72</v>
      </c>
      <c r="F12" s="5" t="s">
        <v>73</v>
      </c>
      <c r="G12" s="5" t="str">
        <f t="shared" si="1"/>
        <v>Not Available</v>
      </c>
      <c r="H12" s="5" t="str">
        <f t="shared" si="4"/>
        <v>Not Available</v>
      </c>
      <c r="I12" s="5" t="s">
        <v>22</v>
      </c>
      <c r="J12" s="5" t="s">
        <v>3387</v>
      </c>
      <c r="K12" s="5" t="s">
        <v>3393</v>
      </c>
      <c r="L12" s="5" t="s">
        <v>22</v>
      </c>
      <c r="M12" s="5" t="s">
        <v>3400</v>
      </c>
      <c r="N12" s="5" t="s">
        <v>74</v>
      </c>
      <c r="O12" s="5" t="s">
        <v>33</v>
      </c>
      <c r="P12" s="5" t="s">
        <v>26</v>
      </c>
      <c r="Q12" s="5" t="s">
        <v>34</v>
      </c>
      <c r="R12" s="5">
        <v>2124</v>
      </c>
      <c r="S12" s="5">
        <v>42.320186293850803</v>
      </c>
      <c r="T12" s="5">
        <v>-71.14569272</v>
      </c>
    </row>
    <row r="13" spans="1:20" x14ac:dyDescent="0.3">
      <c r="A13" s="5" t="s">
        <v>75</v>
      </c>
      <c r="B13" s="6">
        <v>17683</v>
      </c>
      <c r="C13" s="6" t="str">
        <f t="shared" si="3"/>
        <v>Active/Unavailable</v>
      </c>
      <c r="D13" s="5" t="s">
        <v>18</v>
      </c>
      <c r="E13" s="5" t="s">
        <v>76</v>
      </c>
      <c r="F13" s="5" t="s">
        <v>77</v>
      </c>
      <c r="G13" s="5" t="str">
        <f t="shared" si="1"/>
        <v>Not Available</v>
      </c>
      <c r="H13" s="5" t="s">
        <v>78</v>
      </c>
      <c r="I13" s="5" t="s">
        <v>22</v>
      </c>
      <c r="J13" s="5" t="s">
        <v>3387</v>
      </c>
      <c r="K13" s="5" t="s">
        <v>3393</v>
      </c>
      <c r="L13" s="5" t="s">
        <v>23</v>
      </c>
      <c r="M13" s="5" t="s">
        <v>3404</v>
      </c>
      <c r="N13" s="5" t="s">
        <v>79</v>
      </c>
      <c r="O13" s="5" t="s">
        <v>33</v>
      </c>
      <c r="P13" s="5" t="s">
        <v>26</v>
      </c>
      <c r="Q13" s="5" t="s">
        <v>34</v>
      </c>
      <c r="R13" s="5">
        <v>2132</v>
      </c>
      <c r="S13" s="5">
        <v>42.348327480000002</v>
      </c>
      <c r="T13" s="5">
        <v>-71.096466329999998</v>
      </c>
    </row>
    <row r="14" spans="1:20" x14ac:dyDescent="0.3">
      <c r="A14" s="5" t="s">
        <v>80</v>
      </c>
      <c r="B14" s="6">
        <v>26233</v>
      </c>
      <c r="C14" s="6">
        <v>44281</v>
      </c>
      <c r="D14" s="5" t="s">
        <v>18</v>
      </c>
      <c r="E14" s="5" t="s">
        <v>81</v>
      </c>
      <c r="F14" s="5" t="s">
        <v>82</v>
      </c>
      <c r="G14" s="5" t="str">
        <f t="shared" si="1"/>
        <v>Not Available</v>
      </c>
      <c r="H14" s="5" t="s">
        <v>83</v>
      </c>
      <c r="I14" s="5" t="s">
        <v>22</v>
      </c>
      <c r="J14" s="5" t="s">
        <v>3387</v>
      </c>
      <c r="K14" s="5" t="s">
        <v>3394</v>
      </c>
      <c r="L14" s="5" t="s">
        <v>23</v>
      </c>
      <c r="M14" s="5" t="s">
        <v>3405</v>
      </c>
      <c r="N14" s="5" t="s">
        <v>3692</v>
      </c>
      <c r="O14" s="5" t="s">
        <v>33</v>
      </c>
      <c r="P14" s="5" t="s">
        <v>26</v>
      </c>
      <c r="Q14" s="5" t="s">
        <v>34</v>
      </c>
      <c r="R14" s="5">
        <v>2114</v>
      </c>
      <c r="S14" s="5">
        <v>42.340494806170199</v>
      </c>
      <c r="T14" s="5">
        <v>-71.101117290000005</v>
      </c>
    </row>
    <row r="15" spans="1:20" x14ac:dyDescent="0.3">
      <c r="A15" s="5" t="s">
        <v>84</v>
      </c>
      <c r="B15" s="6">
        <v>30417</v>
      </c>
      <c r="C15" s="6" t="str">
        <f t="shared" ref="C15:C31" si="5">"Active/Unavailable"</f>
        <v>Active/Unavailable</v>
      </c>
      <c r="D15" s="5" t="s">
        <v>29</v>
      </c>
      <c r="E15" s="5" t="s">
        <v>85</v>
      </c>
      <c r="F15" s="5" t="s">
        <v>86</v>
      </c>
      <c r="G15" s="5" t="str">
        <f t="shared" si="1"/>
        <v>Not Available</v>
      </c>
      <c r="H15" s="5" t="str">
        <f>"Not Available"</f>
        <v>Not Available</v>
      </c>
      <c r="I15" s="5" t="s">
        <v>22</v>
      </c>
      <c r="J15" s="5" t="s">
        <v>3389</v>
      </c>
      <c r="K15" s="5" t="s">
        <v>3393</v>
      </c>
      <c r="L15" s="5" t="s">
        <v>22</v>
      </c>
      <c r="M15" s="5" t="s">
        <v>3406</v>
      </c>
      <c r="N15" s="5" t="s">
        <v>87</v>
      </c>
      <c r="O15" s="5" t="s">
        <v>88</v>
      </c>
      <c r="P15" s="5" t="s">
        <v>26</v>
      </c>
      <c r="Q15" s="5" t="s">
        <v>57</v>
      </c>
      <c r="R15" s="5">
        <v>2145</v>
      </c>
      <c r="S15" s="5">
        <v>42.346290113283501</v>
      </c>
      <c r="T15" s="5">
        <v>-71.106427359999998</v>
      </c>
    </row>
    <row r="16" spans="1:20" x14ac:dyDescent="0.3">
      <c r="A16" s="5" t="s">
        <v>89</v>
      </c>
      <c r="B16" s="6">
        <v>14509</v>
      </c>
      <c r="C16" s="6" t="str">
        <f t="shared" si="5"/>
        <v>Active/Unavailable</v>
      </c>
      <c r="D16" s="5" t="s">
        <v>18</v>
      </c>
      <c r="E16" s="5" t="s">
        <v>90</v>
      </c>
      <c r="F16" s="5" t="s">
        <v>91</v>
      </c>
      <c r="G16" s="5" t="str">
        <f t="shared" si="1"/>
        <v>Not Available</v>
      </c>
      <c r="H16" s="5" t="s">
        <v>92</v>
      </c>
      <c r="I16" s="5" t="s">
        <v>22</v>
      </c>
      <c r="J16" s="5" t="s">
        <v>3387</v>
      </c>
      <c r="K16" s="5" t="s">
        <v>3393</v>
      </c>
      <c r="L16" s="5" t="s">
        <v>23</v>
      </c>
      <c r="M16" s="5" t="s">
        <v>3407</v>
      </c>
      <c r="N16" s="5" t="s">
        <v>93</v>
      </c>
      <c r="O16" s="5" t="s">
        <v>33</v>
      </c>
      <c r="P16" s="5" t="s">
        <v>26</v>
      </c>
      <c r="Q16" s="5" t="s">
        <v>34</v>
      </c>
      <c r="R16" s="5">
        <v>2131</v>
      </c>
      <c r="S16" s="5">
        <v>42.335374604525498</v>
      </c>
      <c r="T16" s="5">
        <v>-71.058498689999993</v>
      </c>
    </row>
    <row r="17" spans="1:20" x14ac:dyDescent="0.3">
      <c r="A17" s="5" t="s">
        <v>94</v>
      </c>
      <c r="B17" s="6">
        <v>23665</v>
      </c>
      <c r="C17" s="6" t="str">
        <f t="shared" si="5"/>
        <v>Active/Unavailable</v>
      </c>
      <c r="D17" s="5" t="s">
        <v>18</v>
      </c>
      <c r="E17" s="5" t="s">
        <v>95</v>
      </c>
      <c r="F17" s="5" t="s">
        <v>96</v>
      </c>
      <c r="G17" s="5" t="str">
        <f t="shared" si="1"/>
        <v>Not Available</v>
      </c>
      <c r="H17" s="5" t="s">
        <v>97</v>
      </c>
      <c r="I17" s="5" t="s">
        <v>22</v>
      </c>
      <c r="J17" s="5" t="s">
        <v>3387</v>
      </c>
      <c r="K17" s="5" t="s">
        <v>3393</v>
      </c>
      <c r="L17" s="5" t="s">
        <v>23</v>
      </c>
      <c r="M17" s="5" t="s">
        <v>3408</v>
      </c>
      <c r="N17" s="5" t="s">
        <v>98</v>
      </c>
      <c r="O17" s="5" t="s">
        <v>33</v>
      </c>
      <c r="P17" s="5" t="s">
        <v>26</v>
      </c>
      <c r="Q17" s="5" t="s">
        <v>34</v>
      </c>
      <c r="R17" s="5">
        <v>2119</v>
      </c>
      <c r="S17" s="5">
        <v>42.340495535169801</v>
      </c>
      <c r="T17" s="5">
        <v>-71.0654866</v>
      </c>
    </row>
    <row r="18" spans="1:20" x14ac:dyDescent="0.3">
      <c r="A18" s="5" t="s">
        <v>99</v>
      </c>
      <c r="B18" s="6">
        <v>8476</v>
      </c>
      <c r="C18" s="6" t="str">
        <f t="shared" si="5"/>
        <v>Active/Unavailable</v>
      </c>
      <c r="D18" s="5" t="s">
        <v>100</v>
      </c>
      <c r="E18" s="5" t="s">
        <v>101</v>
      </c>
      <c r="F18" s="5" t="s">
        <v>102</v>
      </c>
      <c r="G18" s="5" t="str">
        <f t="shared" si="1"/>
        <v>Not Available</v>
      </c>
      <c r="H18" s="5" t="str">
        <f t="shared" ref="H18:H20" si="6">"Not Available"</f>
        <v>Not Available</v>
      </c>
      <c r="I18" s="5" t="s">
        <v>65</v>
      </c>
      <c r="J18" s="5" t="s">
        <v>3387</v>
      </c>
      <c r="K18" s="5" t="s">
        <v>3393</v>
      </c>
      <c r="L18" s="5" t="s">
        <v>23</v>
      </c>
      <c r="M18" s="5" t="s">
        <v>3409</v>
      </c>
      <c r="N18" s="5" t="s">
        <v>103</v>
      </c>
      <c r="O18" s="5" t="s">
        <v>33</v>
      </c>
      <c r="P18" s="5" t="s">
        <v>26</v>
      </c>
      <c r="Q18" s="5" t="s">
        <v>34</v>
      </c>
      <c r="R18" s="5">
        <v>2125</v>
      </c>
      <c r="S18" s="5">
        <v>42.367438418928302</v>
      </c>
      <c r="T18" s="5">
        <v>-71.014510770000001</v>
      </c>
    </row>
    <row r="19" spans="1:20" x14ac:dyDescent="0.3">
      <c r="A19" s="5" t="s">
        <v>104</v>
      </c>
      <c r="B19" s="6">
        <v>29022</v>
      </c>
      <c r="C19" s="6" t="str">
        <f t="shared" si="5"/>
        <v>Active/Unavailable</v>
      </c>
      <c r="D19" s="5" t="s">
        <v>29</v>
      </c>
      <c r="E19" s="5" t="s">
        <v>105</v>
      </c>
      <c r="F19" s="5" t="s">
        <v>106</v>
      </c>
      <c r="G19" s="5" t="str">
        <f t="shared" si="1"/>
        <v>Not Available</v>
      </c>
      <c r="H19" s="5" t="str">
        <f t="shared" si="6"/>
        <v>Not Available</v>
      </c>
      <c r="I19" s="5" t="s">
        <v>65</v>
      </c>
      <c r="J19" s="5" t="s">
        <v>3389</v>
      </c>
      <c r="K19" s="5" t="s">
        <v>3393</v>
      </c>
      <c r="L19" s="5" t="s">
        <v>22</v>
      </c>
      <c r="M19" s="5" t="s">
        <v>3410</v>
      </c>
      <c r="N19" s="5" t="s">
        <v>107</v>
      </c>
      <c r="O19" s="5" t="s">
        <v>108</v>
      </c>
      <c r="P19" s="5" t="s">
        <v>26</v>
      </c>
      <c r="Q19" s="5" t="s">
        <v>34</v>
      </c>
      <c r="R19" s="5">
        <v>2151</v>
      </c>
      <c r="S19" s="5">
        <v>42.389433747368699</v>
      </c>
      <c r="T19" s="5">
        <v>-70.996224310000002</v>
      </c>
    </row>
    <row r="20" spans="1:20" x14ac:dyDescent="0.3">
      <c r="A20" s="5" t="s">
        <v>109</v>
      </c>
      <c r="B20" s="6">
        <v>29634</v>
      </c>
      <c r="C20" s="6" t="str">
        <f t="shared" si="5"/>
        <v>Active/Unavailable</v>
      </c>
      <c r="D20" s="5" t="s">
        <v>29</v>
      </c>
      <c r="E20" s="5" t="s">
        <v>110</v>
      </c>
      <c r="F20" s="5" t="s">
        <v>111</v>
      </c>
      <c r="G20" s="5" t="str">
        <f t="shared" si="1"/>
        <v>Not Available</v>
      </c>
      <c r="H20" s="5" t="str">
        <f t="shared" si="6"/>
        <v>Not Available</v>
      </c>
      <c r="I20" s="5" t="s">
        <v>22</v>
      </c>
      <c r="J20" s="5" t="s">
        <v>3387</v>
      </c>
      <c r="K20" s="5" t="s">
        <v>3393</v>
      </c>
      <c r="L20" s="5" t="s">
        <v>22</v>
      </c>
      <c r="M20" s="5" t="s">
        <v>3411</v>
      </c>
      <c r="N20" s="5" t="s">
        <v>112</v>
      </c>
      <c r="O20" s="5" t="s">
        <v>25</v>
      </c>
      <c r="P20" s="5" t="s">
        <v>26</v>
      </c>
      <c r="Q20" s="5" t="s">
        <v>27</v>
      </c>
      <c r="R20" s="5">
        <v>2169</v>
      </c>
      <c r="S20" s="5">
        <v>42.303279692562697</v>
      </c>
      <c r="T20" s="5">
        <v>-70.9740781</v>
      </c>
    </row>
    <row r="21" spans="1:20" x14ac:dyDescent="0.3">
      <c r="A21" s="5" t="s">
        <v>113</v>
      </c>
      <c r="B21" s="6">
        <v>11675</v>
      </c>
      <c r="C21" s="6" t="str">
        <f t="shared" si="5"/>
        <v>Active/Unavailable</v>
      </c>
      <c r="D21" s="5" t="s">
        <v>18</v>
      </c>
      <c r="E21" s="5" t="s">
        <v>114</v>
      </c>
      <c r="F21" s="5" t="s">
        <v>115</v>
      </c>
      <c r="G21" s="5" t="str">
        <f t="shared" si="1"/>
        <v>Not Available</v>
      </c>
      <c r="H21" s="5" t="s">
        <v>116</v>
      </c>
      <c r="I21" s="5" t="s">
        <v>22</v>
      </c>
      <c r="J21" s="5" t="s">
        <v>3388</v>
      </c>
      <c r="K21" s="5" t="s">
        <v>3393</v>
      </c>
      <c r="L21" s="5" t="s">
        <v>23</v>
      </c>
      <c r="M21" s="5" t="s">
        <v>3412</v>
      </c>
      <c r="N21" s="5" t="s">
        <v>117</v>
      </c>
      <c r="O21" s="5" t="s">
        <v>33</v>
      </c>
      <c r="P21" s="5" t="s">
        <v>26</v>
      </c>
      <c r="Q21" s="5" t="s">
        <v>34</v>
      </c>
      <c r="R21" s="5">
        <v>2111</v>
      </c>
      <c r="S21" s="5">
        <v>42.3247606944051</v>
      </c>
      <c r="T21" s="5">
        <v>-70.998943100000005</v>
      </c>
    </row>
    <row r="22" spans="1:20" x14ac:dyDescent="0.3">
      <c r="A22" s="5" t="s">
        <v>118</v>
      </c>
      <c r="B22" s="6">
        <v>11854</v>
      </c>
      <c r="C22" s="6" t="str">
        <f t="shared" si="5"/>
        <v>Active/Unavailable</v>
      </c>
      <c r="D22" s="5" t="s">
        <v>100</v>
      </c>
      <c r="E22" s="5" t="s">
        <v>119</v>
      </c>
      <c r="F22" s="5" t="s">
        <v>120</v>
      </c>
      <c r="G22" s="5" t="str">
        <f t="shared" si="1"/>
        <v>Not Available</v>
      </c>
      <c r="H22" s="5" t="str">
        <f t="shared" ref="H22:H23" si="7">"Not Available"</f>
        <v>Not Available</v>
      </c>
      <c r="I22" s="5" t="s">
        <v>65</v>
      </c>
      <c r="J22" s="5" t="s">
        <v>3389</v>
      </c>
      <c r="K22" s="5" t="s">
        <v>3393</v>
      </c>
      <c r="L22" s="5" t="s">
        <v>23</v>
      </c>
      <c r="M22" s="5" t="s">
        <v>3413</v>
      </c>
      <c r="N22" s="5" t="s">
        <v>121</v>
      </c>
      <c r="O22" s="5" t="s">
        <v>33</v>
      </c>
      <c r="P22" s="5" t="s">
        <v>26</v>
      </c>
      <c r="Q22" s="5" t="s">
        <v>34</v>
      </c>
      <c r="R22" s="5">
        <v>2203</v>
      </c>
      <c r="S22" s="5">
        <v>42.3538160621152</v>
      </c>
      <c r="T22" s="5">
        <v>-70.986326700000006</v>
      </c>
    </row>
    <row r="23" spans="1:20" x14ac:dyDescent="0.3">
      <c r="A23" s="5" t="s">
        <v>122</v>
      </c>
      <c r="B23" s="6">
        <v>12397</v>
      </c>
      <c r="C23" s="6" t="str">
        <f t="shared" si="5"/>
        <v>Active/Unavailable</v>
      </c>
      <c r="D23" s="5" t="s">
        <v>29</v>
      </c>
      <c r="E23" s="5" t="s">
        <v>123</v>
      </c>
      <c r="F23" s="5" t="s">
        <v>124</v>
      </c>
      <c r="G23" s="5" t="str">
        <f t="shared" si="1"/>
        <v>Not Available</v>
      </c>
      <c r="H23" s="5" t="str">
        <f t="shared" si="7"/>
        <v>Not Available</v>
      </c>
      <c r="I23" s="5" t="s">
        <v>22</v>
      </c>
      <c r="J23" s="5" t="s">
        <v>3387</v>
      </c>
      <c r="K23" s="5" t="s">
        <v>3393</v>
      </c>
      <c r="L23" s="5" t="s">
        <v>22</v>
      </c>
      <c r="M23" s="5" t="s">
        <v>3414</v>
      </c>
      <c r="N23" s="5" t="s">
        <v>125</v>
      </c>
      <c r="O23" s="5" t="s">
        <v>25</v>
      </c>
      <c r="P23" s="5" t="s">
        <v>26</v>
      </c>
      <c r="Q23" s="5" t="s">
        <v>27</v>
      </c>
      <c r="R23" s="5">
        <v>2170</v>
      </c>
      <c r="S23" s="5">
        <v>42.292721256013301</v>
      </c>
      <c r="T23" s="5">
        <v>-71.042960690000001</v>
      </c>
    </row>
    <row r="24" spans="1:20" x14ac:dyDescent="0.3">
      <c r="A24" s="5" t="s">
        <v>126</v>
      </c>
      <c r="B24" s="6">
        <v>27447</v>
      </c>
      <c r="C24" s="6" t="str">
        <f t="shared" si="5"/>
        <v>Active/Unavailable</v>
      </c>
      <c r="D24" s="5" t="s">
        <v>18</v>
      </c>
      <c r="E24" s="5" t="s">
        <v>127</v>
      </c>
      <c r="F24" s="5" t="s">
        <v>128</v>
      </c>
      <c r="G24" s="5" t="str">
        <f t="shared" si="1"/>
        <v>Not Available</v>
      </c>
      <c r="H24" s="5" t="s">
        <v>129</v>
      </c>
      <c r="I24" s="5" t="s">
        <v>22</v>
      </c>
      <c r="J24" s="5" t="s">
        <v>3388</v>
      </c>
      <c r="K24" s="5" t="s">
        <v>3393</v>
      </c>
      <c r="L24" s="5" t="s">
        <v>23</v>
      </c>
      <c r="M24" s="5" t="s">
        <v>3415</v>
      </c>
      <c r="N24" s="5" t="s">
        <v>130</v>
      </c>
      <c r="O24" s="5" t="s">
        <v>25</v>
      </c>
      <c r="P24" s="5" t="s">
        <v>26</v>
      </c>
      <c r="Q24" s="5" t="s">
        <v>27</v>
      </c>
      <c r="R24" s="5">
        <v>2186</v>
      </c>
      <c r="S24" s="5">
        <v>42.314451896493999</v>
      </c>
      <c r="T24" s="5">
        <v>-71.057283139999996</v>
      </c>
    </row>
    <row r="25" spans="1:20" x14ac:dyDescent="0.3">
      <c r="A25" s="5" t="s">
        <v>131</v>
      </c>
      <c r="B25" s="6">
        <v>11661</v>
      </c>
      <c r="C25" s="6" t="str">
        <f t="shared" si="5"/>
        <v>Active/Unavailable</v>
      </c>
      <c r="D25" s="5" t="s">
        <v>18</v>
      </c>
      <c r="E25" s="5" t="s">
        <v>132</v>
      </c>
      <c r="F25" s="5" t="s">
        <v>133</v>
      </c>
      <c r="G25" s="5" t="str">
        <f t="shared" si="1"/>
        <v>Not Available</v>
      </c>
      <c r="H25" s="5" t="s">
        <v>134</v>
      </c>
      <c r="I25" s="5" t="s">
        <v>22</v>
      </c>
      <c r="J25" s="5" t="s">
        <v>3387</v>
      </c>
      <c r="K25" s="5" t="s">
        <v>3393</v>
      </c>
      <c r="L25" s="5" t="s">
        <v>23</v>
      </c>
      <c r="M25" s="5" t="s">
        <v>3416</v>
      </c>
      <c r="N25" s="5" t="s">
        <v>135</v>
      </c>
      <c r="O25" s="5" t="s">
        <v>136</v>
      </c>
      <c r="P25" s="5" t="s">
        <v>26</v>
      </c>
      <c r="Q25" s="5" t="s">
        <v>27</v>
      </c>
      <c r="R25" s="5" t="str">
        <f>"0000"</f>
        <v>0000</v>
      </c>
      <c r="S25" s="5">
        <v>42.216635436622099</v>
      </c>
      <c r="T25" s="5">
        <v>-70.825137220000002</v>
      </c>
    </row>
    <row r="26" spans="1:20" x14ac:dyDescent="0.3">
      <c r="A26" s="5" t="s">
        <v>137</v>
      </c>
      <c r="B26" s="6">
        <v>29803</v>
      </c>
      <c r="C26" s="6" t="str">
        <f t="shared" si="5"/>
        <v>Active/Unavailable</v>
      </c>
      <c r="D26" s="5" t="s">
        <v>29</v>
      </c>
      <c r="E26" s="5" t="s">
        <v>138</v>
      </c>
      <c r="F26" s="5" t="s">
        <v>139</v>
      </c>
      <c r="G26" s="5" t="str">
        <f t="shared" si="1"/>
        <v>Not Available</v>
      </c>
      <c r="H26" s="5" t="str">
        <f t="shared" ref="H26:H27" si="8">"Not Available"</f>
        <v>Not Available</v>
      </c>
      <c r="I26" s="5" t="s">
        <v>22</v>
      </c>
      <c r="J26" s="5" t="s">
        <v>3387</v>
      </c>
      <c r="K26" s="5" t="s">
        <v>3393</v>
      </c>
      <c r="L26" s="5" t="s">
        <v>22</v>
      </c>
      <c r="M26" s="5" t="s">
        <v>3417</v>
      </c>
      <c r="N26" s="5" t="s">
        <v>140</v>
      </c>
      <c r="O26" s="5" t="s">
        <v>56</v>
      </c>
      <c r="P26" s="5" t="s">
        <v>26</v>
      </c>
      <c r="Q26" s="5" t="s">
        <v>57</v>
      </c>
      <c r="R26" s="5">
        <v>2139</v>
      </c>
      <c r="S26" s="5">
        <v>42.326258577528698</v>
      </c>
      <c r="T26" s="5">
        <v>-71.077861569999996</v>
      </c>
    </row>
    <row r="27" spans="1:20" x14ac:dyDescent="0.3">
      <c r="A27" s="5" t="s">
        <v>141</v>
      </c>
      <c r="B27" s="6">
        <v>12309</v>
      </c>
      <c r="C27" s="6" t="str">
        <f t="shared" si="5"/>
        <v>Active/Unavailable</v>
      </c>
      <c r="D27" s="5" t="s">
        <v>29</v>
      </c>
      <c r="E27" s="5" t="s">
        <v>142</v>
      </c>
      <c r="F27" s="5" t="s">
        <v>143</v>
      </c>
      <c r="G27" s="5" t="str">
        <f t="shared" si="1"/>
        <v>Not Available</v>
      </c>
      <c r="H27" s="5" t="str">
        <f t="shared" si="8"/>
        <v>Not Available</v>
      </c>
      <c r="I27" s="5" t="s">
        <v>22</v>
      </c>
      <c r="J27" s="5" t="s">
        <v>3389</v>
      </c>
      <c r="K27" s="5" t="s">
        <v>3393</v>
      </c>
      <c r="L27" s="5" t="s">
        <v>22</v>
      </c>
      <c r="M27" s="5" t="s">
        <v>3418</v>
      </c>
      <c r="N27" s="5" t="s">
        <v>144</v>
      </c>
      <c r="O27" s="5" t="s">
        <v>145</v>
      </c>
      <c r="P27" s="5" t="s">
        <v>26</v>
      </c>
      <c r="Q27" s="5" t="s">
        <v>57</v>
      </c>
      <c r="R27" s="5" t="str">
        <f>"0000"</f>
        <v>0000</v>
      </c>
      <c r="S27" s="5">
        <v>42.385422166028</v>
      </c>
      <c r="T27" s="5">
        <v>-71.090930009999994</v>
      </c>
    </row>
    <row r="28" spans="1:20" x14ac:dyDescent="0.3">
      <c r="A28" s="5" t="s">
        <v>146</v>
      </c>
      <c r="B28" s="6">
        <v>13797</v>
      </c>
      <c r="C28" s="6" t="str">
        <f t="shared" si="5"/>
        <v>Active/Unavailable</v>
      </c>
      <c r="D28" s="5" t="s">
        <v>18</v>
      </c>
      <c r="E28" s="5" t="s">
        <v>147</v>
      </c>
      <c r="F28" s="5" t="s">
        <v>148</v>
      </c>
      <c r="G28" s="5" t="str">
        <f t="shared" si="1"/>
        <v>Not Available</v>
      </c>
      <c r="H28" s="5" t="s">
        <v>149</v>
      </c>
      <c r="I28" s="5" t="s">
        <v>22</v>
      </c>
      <c r="J28" s="5" t="s">
        <v>3387</v>
      </c>
      <c r="K28" s="5" t="s">
        <v>3393</v>
      </c>
      <c r="L28" s="5" t="s">
        <v>23</v>
      </c>
      <c r="M28" s="5" t="s">
        <v>3419</v>
      </c>
      <c r="N28" s="5" t="s">
        <v>150</v>
      </c>
      <c r="O28" s="5" t="s">
        <v>33</v>
      </c>
      <c r="P28" s="5" t="s">
        <v>26</v>
      </c>
      <c r="Q28" s="5" t="s">
        <v>34</v>
      </c>
      <c r="R28" s="5">
        <v>2132</v>
      </c>
      <c r="S28" s="5">
        <v>42.329043069244797</v>
      </c>
      <c r="T28" s="5">
        <v>-71.085037049999997</v>
      </c>
    </row>
    <row r="29" spans="1:20" x14ac:dyDescent="0.3">
      <c r="A29" s="5" t="s">
        <v>151</v>
      </c>
      <c r="B29" s="6">
        <v>21886</v>
      </c>
      <c r="C29" s="6" t="str">
        <f t="shared" si="5"/>
        <v>Active/Unavailable</v>
      </c>
      <c r="D29" s="5" t="s">
        <v>29</v>
      </c>
      <c r="E29" s="5" t="s">
        <v>152</v>
      </c>
      <c r="F29" s="5" t="s">
        <v>45</v>
      </c>
      <c r="G29" s="5" t="str">
        <f t="shared" si="1"/>
        <v>Not Available</v>
      </c>
      <c r="H29" s="5" t="str">
        <f>"Not Available"</f>
        <v>Not Available</v>
      </c>
      <c r="I29" s="5" t="s">
        <v>65</v>
      </c>
      <c r="J29" s="5" t="s">
        <v>3389</v>
      </c>
      <c r="K29" s="5" t="s">
        <v>3393</v>
      </c>
      <c r="L29" s="5" t="s">
        <v>22</v>
      </c>
      <c r="M29" s="5" t="s">
        <v>3420</v>
      </c>
      <c r="N29" s="5" t="s">
        <v>153</v>
      </c>
      <c r="O29" s="5" t="s">
        <v>145</v>
      </c>
      <c r="P29" s="5" t="s">
        <v>26</v>
      </c>
      <c r="Q29" s="5" t="s">
        <v>57</v>
      </c>
      <c r="R29" s="5">
        <v>2149</v>
      </c>
      <c r="S29" s="5">
        <v>42.362369510000001</v>
      </c>
      <c r="T29" s="5">
        <v>-71.082835509999995</v>
      </c>
    </row>
    <row r="30" spans="1:20" x14ac:dyDescent="0.3">
      <c r="A30" s="5" t="s">
        <v>154</v>
      </c>
      <c r="B30" s="6">
        <v>11756</v>
      </c>
      <c r="C30" s="6" t="str">
        <f t="shared" si="5"/>
        <v>Active/Unavailable</v>
      </c>
      <c r="D30" s="5" t="s">
        <v>18</v>
      </c>
      <c r="E30" s="5" t="s">
        <v>155</v>
      </c>
      <c r="F30" s="5" t="s">
        <v>156</v>
      </c>
      <c r="G30" s="5" t="str">
        <f t="shared" si="1"/>
        <v>Not Available</v>
      </c>
      <c r="H30" s="5" t="s">
        <v>157</v>
      </c>
      <c r="I30" s="5" t="s">
        <v>22</v>
      </c>
      <c r="J30" s="5" t="s">
        <v>3389</v>
      </c>
      <c r="K30" s="5" t="s">
        <v>3393</v>
      </c>
      <c r="L30" s="5" t="s">
        <v>23</v>
      </c>
      <c r="M30" s="5" t="s">
        <v>3421</v>
      </c>
      <c r="N30" s="5" t="s">
        <v>158</v>
      </c>
      <c r="O30" s="5" t="s">
        <v>33</v>
      </c>
      <c r="P30" s="5" t="s">
        <v>26</v>
      </c>
      <c r="Q30" s="5" t="s">
        <v>34</v>
      </c>
      <c r="R30" s="5">
        <v>2126</v>
      </c>
      <c r="S30" s="5">
        <v>42.396205070131401</v>
      </c>
      <c r="T30" s="5">
        <v>-71.004151829999998</v>
      </c>
    </row>
    <row r="31" spans="1:20" x14ac:dyDescent="0.3">
      <c r="A31" s="5" t="s">
        <v>159</v>
      </c>
      <c r="B31" s="6">
        <v>15508</v>
      </c>
      <c r="C31" s="6" t="str">
        <f t="shared" si="5"/>
        <v>Active/Unavailable</v>
      </c>
      <c r="D31" s="5" t="s">
        <v>29</v>
      </c>
      <c r="E31" s="5" t="s">
        <v>160</v>
      </c>
      <c r="F31" s="5" t="s">
        <v>161</v>
      </c>
      <c r="G31" s="5" t="str">
        <f t="shared" si="1"/>
        <v>Not Available</v>
      </c>
      <c r="H31" s="5" t="str">
        <f t="shared" ref="H31:H34" si="9">"Not Available"</f>
        <v>Not Available</v>
      </c>
      <c r="I31" s="5" t="s">
        <v>22</v>
      </c>
      <c r="J31" s="5" t="s">
        <v>3389</v>
      </c>
      <c r="K31" s="5" t="s">
        <v>3393</v>
      </c>
      <c r="L31" s="5" t="s">
        <v>22</v>
      </c>
      <c r="M31" s="5" t="s">
        <v>3422</v>
      </c>
      <c r="N31" s="5" t="s">
        <v>162</v>
      </c>
      <c r="O31" s="5" t="s">
        <v>33</v>
      </c>
      <c r="P31" s="5" t="s">
        <v>26</v>
      </c>
      <c r="Q31" s="5" t="s">
        <v>34</v>
      </c>
      <c r="R31" s="5">
        <v>2114</v>
      </c>
      <c r="S31" s="5">
        <v>42.262346427739701</v>
      </c>
      <c r="T31" s="5">
        <v>-71.006822360000001</v>
      </c>
    </row>
    <row r="32" spans="1:20" x14ac:dyDescent="0.3">
      <c r="A32" s="5" t="s">
        <v>163</v>
      </c>
      <c r="B32" s="6">
        <v>9090</v>
      </c>
      <c r="C32" s="6">
        <v>41750</v>
      </c>
      <c r="D32" s="5" t="s">
        <v>29</v>
      </c>
      <c r="E32" s="5" t="s">
        <v>164</v>
      </c>
      <c r="F32" s="5" t="s">
        <v>165</v>
      </c>
      <c r="G32" s="5" t="str">
        <f t="shared" si="1"/>
        <v>Not Available</v>
      </c>
      <c r="H32" s="5" t="str">
        <f t="shared" si="9"/>
        <v>Not Available</v>
      </c>
      <c r="I32" s="5" t="s">
        <v>22</v>
      </c>
      <c r="J32" s="5" t="s">
        <v>3388</v>
      </c>
      <c r="K32" s="5" t="s">
        <v>3393</v>
      </c>
      <c r="L32" s="5" t="s">
        <v>22</v>
      </c>
      <c r="M32" s="5" t="s">
        <v>3423</v>
      </c>
      <c r="N32" s="5" t="s">
        <v>166</v>
      </c>
      <c r="O32" s="5" t="s">
        <v>167</v>
      </c>
      <c r="P32" s="5" t="s">
        <v>26</v>
      </c>
      <c r="Q32" s="5" t="s">
        <v>57</v>
      </c>
      <c r="R32" s="5" t="str">
        <f t="shared" ref="R32:R33" si="10">"0000"</f>
        <v>0000</v>
      </c>
      <c r="S32" s="5">
        <v>42.439300598351501</v>
      </c>
      <c r="T32" s="5">
        <v>-71.084712839999995</v>
      </c>
    </row>
    <row r="33" spans="1:20" x14ac:dyDescent="0.3">
      <c r="A33" s="5" t="s">
        <v>168</v>
      </c>
      <c r="B33" s="6">
        <v>9692</v>
      </c>
      <c r="C33" s="6">
        <v>42680</v>
      </c>
      <c r="D33" s="5" t="s">
        <v>29</v>
      </c>
      <c r="E33" s="5" t="s">
        <v>169</v>
      </c>
      <c r="F33" s="5" t="s">
        <v>170</v>
      </c>
      <c r="G33" s="5" t="str">
        <f t="shared" si="1"/>
        <v>Not Available</v>
      </c>
      <c r="H33" s="5" t="str">
        <f t="shared" si="9"/>
        <v>Not Available</v>
      </c>
      <c r="I33" s="5" t="s">
        <v>65</v>
      </c>
      <c r="J33" s="5" t="s">
        <v>3387</v>
      </c>
      <c r="K33" s="5" t="s">
        <v>3393</v>
      </c>
      <c r="L33" s="5" t="s">
        <v>22</v>
      </c>
      <c r="M33" s="5" t="s">
        <v>3424</v>
      </c>
      <c r="N33" s="5" t="s">
        <v>171</v>
      </c>
      <c r="O33" s="5" t="s">
        <v>172</v>
      </c>
      <c r="P33" s="5" t="s">
        <v>26</v>
      </c>
      <c r="Q33" s="5" t="s">
        <v>34</v>
      </c>
      <c r="R33" s="5" t="str">
        <f t="shared" si="10"/>
        <v>0000</v>
      </c>
      <c r="S33" s="5">
        <v>42.400312461729001</v>
      </c>
      <c r="T33" s="5">
        <v>-71.00721197</v>
      </c>
    </row>
    <row r="34" spans="1:20" x14ac:dyDescent="0.3">
      <c r="A34" s="5" t="s">
        <v>173</v>
      </c>
      <c r="B34" s="6">
        <v>24375</v>
      </c>
      <c r="C34" s="6" t="str">
        <f t="shared" ref="C34:C40" si="11">"Active/Unavailable"</f>
        <v>Active/Unavailable</v>
      </c>
      <c r="D34" s="5" t="s">
        <v>29</v>
      </c>
      <c r="E34" s="5" t="s">
        <v>174</v>
      </c>
      <c r="F34" s="5" t="s">
        <v>175</v>
      </c>
      <c r="G34" s="5" t="str">
        <f t="shared" ref="G34:G65" si="12">"Not Available"</f>
        <v>Not Available</v>
      </c>
      <c r="H34" s="5" t="str">
        <f t="shared" si="9"/>
        <v>Not Available</v>
      </c>
      <c r="I34" s="5" t="s">
        <v>22</v>
      </c>
      <c r="J34" s="5" t="s">
        <v>3387</v>
      </c>
      <c r="K34" s="5" t="s">
        <v>3393</v>
      </c>
      <c r="L34" s="5" t="s">
        <v>22</v>
      </c>
      <c r="M34" s="5" t="s">
        <v>3425</v>
      </c>
      <c r="N34" s="5" t="s">
        <v>176</v>
      </c>
      <c r="O34" s="5" t="s">
        <v>56</v>
      </c>
      <c r="P34" s="5" t="s">
        <v>26</v>
      </c>
      <c r="Q34" s="5" t="s">
        <v>57</v>
      </c>
      <c r="R34" s="5">
        <v>2138</v>
      </c>
      <c r="S34" s="5">
        <v>42.354605054811501</v>
      </c>
      <c r="T34" s="5">
        <v>-71.144376010000002</v>
      </c>
    </row>
    <row r="35" spans="1:20" x14ac:dyDescent="0.3">
      <c r="A35" s="5" t="s">
        <v>177</v>
      </c>
      <c r="B35" s="6">
        <v>16894</v>
      </c>
      <c r="C35" s="6" t="str">
        <f t="shared" si="11"/>
        <v>Active/Unavailable</v>
      </c>
      <c r="D35" s="5" t="s">
        <v>18</v>
      </c>
      <c r="E35" s="5" t="s">
        <v>178</v>
      </c>
      <c r="F35" s="5" t="s">
        <v>179</v>
      </c>
      <c r="G35" s="5" t="str">
        <f t="shared" si="12"/>
        <v>Not Available</v>
      </c>
      <c r="H35" s="5" t="s">
        <v>180</v>
      </c>
      <c r="I35" s="5" t="s">
        <v>22</v>
      </c>
      <c r="J35" s="5" t="s">
        <v>3387</v>
      </c>
      <c r="K35" s="5" t="s">
        <v>3394</v>
      </c>
      <c r="L35" s="5" t="s">
        <v>23</v>
      </c>
      <c r="M35" s="5" t="s">
        <v>3426</v>
      </c>
      <c r="N35" s="5" t="s">
        <v>181</v>
      </c>
      <c r="O35" s="5" t="s">
        <v>33</v>
      </c>
      <c r="P35" s="5" t="s">
        <v>26</v>
      </c>
      <c r="Q35" s="5" t="s">
        <v>34</v>
      </c>
      <c r="R35" s="5">
        <v>2122</v>
      </c>
      <c r="S35" s="5">
        <v>42.331746769825003</v>
      </c>
      <c r="T35" s="5">
        <v>-71.130186050000006</v>
      </c>
    </row>
    <row r="36" spans="1:20" x14ac:dyDescent="0.3">
      <c r="A36" s="5" t="s">
        <v>182</v>
      </c>
      <c r="B36" s="6">
        <v>9692</v>
      </c>
      <c r="C36" s="6" t="str">
        <f t="shared" si="11"/>
        <v>Active/Unavailable</v>
      </c>
      <c r="D36" s="5" t="s">
        <v>29</v>
      </c>
      <c r="E36" s="5" t="s">
        <v>183</v>
      </c>
      <c r="F36" s="5" t="s">
        <v>184</v>
      </c>
      <c r="G36" s="5" t="str">
        <f t="shared" si="12"/>
        <v>Not Available</v>
      </c>
      <c r="H36" s="5" t="str">
        <f t="shared" ref="H36:H37" si="13">"Not Available"</f>
        <v>Not Available</v>
      </c>
      <c r="I36" s="5" t="s">
        <v>22</v>
      </c>
      <c r="J36" s="5" t="s">
        <v>3387</v>
      </c>
      <c r="K36" s="5" t="s">
        <v>3393</v>
      </c>
      <c r="L36" s="5" t="s">
        <v>22</v>
      </c>
      <c r="M36" s="5" t="s">
        <v>3427</v>
      </c>
      <c r="N36" s="5" t="s">
        <v>185</v>
      </c>
      <c r="O36" s="5" t="s">
        <v>172</v>
      </c>
      <c r="P36" s="5" t="s">
        <v>26</v>
      </c>
      <c r="Q36" s="5" t="s">
        <v>34</v>
      </c>
      <c r="R36" s="5">
        <v>2149</v>
      </c>
      <c r="S36" s="5">
        <v>42.389209263833699</v>
      </c>
      <c r="T36" s="5">
        <v>-71.047994619999997</v>
      </c>
    </row>
    <row r="37" spans="1:20" x14ac:dyDescent="0.3">
      <c r="A37" s="5" t="s">
        <v>186</v>
      </c>
      <c r="B37" s="6">
        <v>17388</v>
      </c>
      <c r="C37" s="6" t="str">
        <f t="shared" si="11"/>
        <v>Active/Unavailable</v>
      </c>
      <c r="D37" s="5" t="s">
        <v>100</v>
      </c>
      <c r="E37" s="5" t="s">
        <v>187</v>
      </c>
      <c r="F37" s="5" t="s">
        <v>188</v>
      </c>
      <c r="G37" s="5" t="str">
        <f t="shared" si="12"/>
        <v>Not Available</v>
      </c>
      <c r="H37" s="5" t="str">
        <f t="shared" si="13"/>
        <v>Not Available</v>
      </c>
      <c r="I37" s="5" t="s">
        <v>65</v>
      </c>
      <c r="J37" s="5" t="s">
        <v>3387</v>
      </c>
      <c r="K37" s="5" t="s">
        <v>3393</v>
      </c>
      <c r="L37" s="5" t="s">
        <v>23</v>
      </c>
      <c r="M37" s="5" t="s">
        <v>3428</v>
      </c>
      <c r="N37" s="5" t="s">
        <v>189</v>
      </c>
      <c r="O37" s="5" t="s">
        <v>56</v>
      </c>
      <c r="P37" s="5" t="s">
        <v>26</v>
      </c>
      <c r="Q37" s="5" t="s">
        <v>57</v>
      </c>
      <c r="R37" s="5">
        <v>2140</v>
      </c>
      <c r="S37" s="5">
        <v>42.343962289034998</v>
      </c>
      <c r="T37" s="5">
        <v>-71.072961539999994</v>
      </c>
    </row>
    <row r="38" spans="1:20" x14ac:dyDescent="0.3">
      <c r="A38" s="5" t="s">
        <v>190</v>
      </c>
      <c r="B38" s="6">
        <v>8419</v>
      </c>
      <c r="C38" s="6" t="str">
        <f t="shared" si="11"/>
        <v>Active/Unavailable</v>
      </c>
      <c r="D38" s="5" t="s">
        <v>18</v>
      </c>
      <c r="E38" s="5" t="s">
        <v>191</v>
      </c>
      <c r="F38" s="5" t="s">
        <v>192</v>
      </c>
      <c r="G38" s="5" t="str">
        <f t="shared" si="12"/>
        <v>Not Available</v>
      </c>
      <c r="H38" s="5" t="s">
        <v>193</v>
      </c>
      <c r="I38" s="5" t="s">
        <v>22</v>
      </c>
      <c r="J38" s="5" t="s">
        <v>3387</v>
      </c>
      <c r="K38" s="5" t="s">
        <v>3393</v>
      </c>
      <c r="L38" s="5" t="s">
        <v>23</v>
      </c>
      <c r="M38" s="5" t="s">
        <v>3414</v>
      </c>
      <c r="N38" s="5" t="s">
        <v>194</v>
      </c>
      <c r="O38" s="5" t="s">
        <v>33</v>
      </c>
      <c r="P38" s="5" t="s">
        <v>26</v>
      </c>
      <c r="Q38" s="5" t="s">
        <v>34</v>
      </c>
      <c r="R38" s="5">
        <v>2130</v>
      </c>
      <c r="S38" s="5">
        <v>42.329469525531799</v>
      </c>
      <c r="T38" s="5">
        <v>-71.078818870000006</v>
      </c>
    </row>
    <row r="39" spans="1:20" x14ac:dyDescent="0.3">
      <c r="A39" s="5" t="s">
        <v>195</v>
      </c>
      <c r="B39" s="6">
        <v>21107</v>
      </c>
      <c r="C39" s="6" t="str">
        <f t="shared" si="11"/>
        <v>Active/Unavailable</v>
      </c>
      <c r="D39" s="5" t="s">
        <v>18</v>
      </c>
      <c r="E39" s="5" t="s">
        <v>196</v>
      </c>
      <c r="F39" s="5" t="s">
        <v>197</v>
      </c>
      <c r="G39" s="5" t="str">
        <f t="shared" si="12"/>
        <v>Not Available</v>
      </c>
      <c r="H39" s="5" t="s">
        <v>198</v>
      </c>
      <c r="I39" s="5" t="s">
        <v>22</v>
      </c>
      <c r="J39" s="5" t="s">
        <v>3387</v>
      </c>
      <c r="K39" s="5" t="s">
        <v>3393</v>
      </c>
      <c r="L39" s="5" t="s">
        <v>23</v>
      </c>
      <c r="M39" s="5" t="s">
        <v>3429</v>
      </c>
      <c r="N39" s="5" t="s">
        <v>199</v>
      </c>
      <c r="O39" s="5" t="s">
        <v>136</v>
      </c>
      <c r="P39" s="5" t="s">
        <v>26</v>
      </c>
      <c r="Q39" s="5" t="s">
        <v>27</v>
      </c>
      <c r="R39" s="5" t="str">
        <f>"0000"</f>
        <v>0000</v>
      </c>
      <c r="S39" s="5">
        <v>42.260711353141701</v>
      </c>
      <c r="T39" s="5">
        <v>-70.763462349999998</v>
      </c>
    </row>
    <row r="40" spans="1:20" x14ac:dyDescent="0.3">
      <c r="A40" s="5" t="s">
        <v>200</v>
      </c>
      <c r="B40" s="6">
        <v>11434</v>
      </c>
      <c r="C40" s="6" t="str">
        <f t="shared" si="11"/>
        <v>Active/Unavailable</v>
      </c>
      <c r="D40" s="5" t="s">
        <v>100</v>
      </c>
      <c r="E40" s="5" t="s">
        <v>201</v>
      </c>
      <c r="F40" s="5" t="s">
        <v>202</v>
      </c>
      <c r="G40" s="5" t="str">
        <f t="shared" si="12"/>
        <v>Not Available</v>
      </c>
      <c r="H40" s="5" t="str">
        <f>"Not Available"</f>
        <v>Not Available</v>
      </c>
      <c r="I40" s="5" t="s">
        <v>65</v>
      </c>
      <c r="J40" s="5" t="s">
        <v>3387</v>
      </c>
      <c r="K40" s="5" t="s">
        <v>3393</v>
      </c>
      <c r="L40" s="5" t="s">
        <v>23</v>
      </c>
      <c r="M40" s="5" t="s">
        <v>3430</v>
      </c>
      <c r="N40" s="5" t="s">
        <v>203</v>
      </c>
      <c r="O40" s="5" t="s">
        <v>25</v>
      </c>
      <c r="P40" s="5" t="s">
        <v>26</v>
      </c>
      <c r="Q40" s="5" t="s">
        <v>27</v>
      </c>
      <c r="R40" s="5">
        <v>2171</v>
      </c>
      <c r="S40" s="5">
        <v>42.339488974338998</v>
      </c>
      <c r="T40" s="5">
        <v>-71.035296619999997</v>
      </c>
    </row>
    <row r="41" spans="1:20" x14ac:dyDescent="0.3">
      <c r="A41" s="5" t="s">
        <v>204</v>
      </c>
      <c r="B41" s="6">
        <v>9147</v>
      </c>
      <c r="C41" s="6">
        <v>41235</v>
      </c>
      <c r="D41" s="5" t="s">
        <v>18</v>
      </c>
      <c r="E41" s="5" t="s">
        <v>205</v>
      </c>
      <c r="F41" s="5" t="s">
        <v>206</v>
      </c>
      <c r="G41" s="5" t="str">
        <f t="shared" si="12"/>
        <v>Not Available</v>
      </c>
      <c r="H41" s="5" t="s">
        <v>207</v>
      </c>
      <c r="I41" s="5" t="s">
        <v>22</v>
      </c>
      <c r="J41" s="5" t="s">
        <v>3389</v>
      </c>
      <c r="K41" s="5" t="s">
        <v>3393</v>
      </c>
      <c r="L41" s="5" t="s">
        <v>23</v>
      </c>
      <c r="M41" s="5" t="s">
        <v>3431</v>
      </c>
      <c r="N41" s="5" t="s">
        <v>208</v>
      </c>
      <c r="O41" s="5" t="s">
        <v>209</v>
      </c>
      <c r="P41" s="5" t="s">
        <v>26</v>
      </c>
      <c r="Q41" s="5" t="s">
        <v>27</v>
      </c>
      <c r="R41" s="5" t="str">
        <f>"0000"</f>
        <v>0000</v>
      </c>
      <c r="S41" s="5">
        <v>42.211868024990601</v>
      </c>
      <c r="T41" s="5">
        <v>-70.905003879999995</v>
      </c>
    </row>
    <row r="42" spans="1:20" x14ac:dyDescent="0.3">
      <c r="A42" s="5" t="s">
        <v>210</v>
      </c>
      <c r="B42" s="6">
        <v>17620</v>
      </c>
      <c r="C42" s="6" t="str">
        <f t="shared" ref="C42:C47" si="14">"Active/Unavailable"</f>
        <v>Active/Unavailable</v>
      </c>
      <c r="D42" s="5" t="s">
        <v>29</v>
      </c>
      <c r="E42" s="5" t="s">
        <v>211</v>
      </c>
      <c r="F42" s="5" t="s">
        <v>212</v>
      </c>
      <c r="G42" s="5" t="str">
        <f t="shared" si="12"/>
        <v>Not Available</v>
      </c>
      <c r="H42" s="5" t="str">
        <f>"Not Available"</f>
        <v>Not Available</v>
      </c>
      <c r="I42" s="5" t="s">
        <v>22</v>
      </c>
      <c r="J42" s="5" t="s">
        <v>3387</v>
      </c>
      <c r="K42" s="5" t="s">
        <v>3394</v>
      </c>
      <c r="L42" s="5" t="s">
        <v>22</v>
      </c>
      <c r="M42" s="5" t="s">
        <v>3428</v>
      </c>
      <c r="N42" s="5" t="s">
        <v>213</v>
      </c>
      <c r="O42" s="5" t="s">
        <v>33</v>
      </c>
      <c r="P42" s="5" t="s">
        <v>26</v>
      </c>
      <c r="Q42" s="5" t="s">
        <v>34</v>
      </c>
      <c r="R42" s="5">
        <v>2127</v>
      </c>
      <c r="S42" s="5">
        <v>42.329919111120397</v>
      </c>
      <c r="T42" s="5">
        <v>-71.035407219999996</v>
      </c>
    </row>
    <row r="43" spans="1:20" x14ac:dyDescent="0.3">
      <c r="A43" s="5" t="s">
        <v>214</v>
      </c>
      <c r="B43" s="6">
        <v>23489</v>
      </c>
      <c r="C43" s="6" t="str">
        <f t="shared" si="14"/>
        <v>Active/Unavailable</v>
      </c>
      <c r="D43" s="5" t="s">
        <v>18</v>
      </c>
      <c r="E43" s="5" t="s">
        <v>215</v>
      </c>
      <c r="F43" s="5" t="s">
        <v>216</v>
      </c>
      <c r="G43" s="5" t="str">
        <f t="shared" si="12"/>
        <v>Not Available</v>
      </c>
      <c r="H43" s="5" t="s">
        <v>217</v>
      </c>
      <c r="I43" s="5" t="s">
        <v>22</v>
      </c>
      <c r="J43" s="5" t="s">
        <v>3387</v>
      </c>
      <c r="K43" s="5" t="s">
        <v>3393</v>
      </c>
      <c r="L43" s="5" t="s">
        <v>23</v>
      </c>
      <c r="M43" s="5" t="s">
        <v>3432</v>
      </c>
      <c r="N43" s="5" t="s">
        <v>218</v>
      </c>
      <c r="O43" s="5" t="s">
        <v>33</v>
      </c>
      <c r="P43" s="5" t="s">
        <v>26</v>
      </c>
      <c r="Q43" s="5" t="s">
        <v>34</v>
      </c>
      <c r="R43" s="5">
        <v>2127</v>
      </c>
      <c r="S43" s="5">
        <v>42.3454804696905</v>
      </c>
      <c r="T43" s="5">
        <v>-71.015129200000004</v>
      </c>
    </row>
    <row r="44" spans="1:20" x14ac:dyDescent="0.3">
      <c r="A44" s="5" t="s">
        <v>219</v>
      </c>
      <c r="B44" s="6">
        <v>9147</v>
      </c>
      <c r="C44" s="6" t="str">
        <f t="shared" si="14"/>
        <v>Active/Unavailable</v>
      </c>
      <c r="D44" s="5" t="s">
        <v>18</v>
      </c>
      <c r="E44" s="5" t="s">
        <v>220</v>
      </c>
      <c r="F44" s="5" t="s">
        <v>221</v>
      </c>
      <c r="G44" s="5" t="str">
        <f t="shared" si="12"/>
        <v>Not Available</v>
      </c>
      <c r="H44" s="5" t="s">
        <v>222</v>
      </c>
      <c r="I44" s="5" t="s">
        <v>22</v>
      </c>
      <c r="J44" s="5" t="s">
        <v>3389</v>
      </c>
      <c r="K44" s="5" t="s">
        <v>3393</v>
      </c>
      <c r="L44" s="5" t="s">
        <v>23</v>
      </c>
      <c r="M44" s="5" t="s">
        <v>3433</v>
      </c>
      <c r="N44" s="5" t="s">
        <v>223</v>
      </c>
      <c r="O44" s="5" t="s">
        <v>209</v>
      </c>
      <c r="P44" s="5" t="s">
        <v>26</v>
      </c>
      <c r="Q44" s="5" t="s">
        <v>27</v>
      </c>
      <c r="R44" s="5">
        <v>2190</v>
      </c>
      <c r="S44" s="5">
        <v>42.216414040631498</v>
      </c>
      <c r="T44" s="5">
        <v>-70.913583979999999</v>
      </c>
    </row>
    <row r="45" spans="1:20" x14ac:dyDescent="0.3">
      <c r="A45" s="5" t="s">
        <v>224</v>
      </c>
      <c r="B45" s="6">
        <v>29537</v>
      </c>
      <c r="C45" s="6" t="str">
        <f t="shared" si="14"/>
        <v>Active/Unavailable</v>
      </c>
      <c r="D45" s="5" t="s">
        <v>18</v>
      </c>
      <c r="E45" s="5" t="s">
        <v>225</v>
      </c>
      <c r="F45" s="5" t="s">
        <v>221</v>
      </c>
      <c r="G45" s="5" t="str">
        <f t="shared" si="12"/>
        <v>Not Available</v>
      </c>
      <c r="H45" s="5" t="s">
        <v>226</v>
      </c>
      <c r="I45" s="5" t="s">
        <v>22</v>
      </c>
      <c r="J45" s="5" t="s">
        <v>3389</v>
      </c>
      <c r="K45" s="5" t="s">
        <v>3394</v>
      </c>
      <c r="L45" s="5" t="s">
        <v>23</v>
      </c>
      <c r="M45" s="5" t="s">
        <v>3434</v>
      </c>
      <c r="N45" s="5" t="s">
        <v>227</v>
      </c>
      <c r="O45" s="5" t="s">
        <v>33</v>
      </c>
      <c r="P45" s="5" t="s">
        <v>26</v>
      </c>
      <c r="Q45" s="5" t="s">
        <v>34</v>
      </c>
      <c r="R45" s="5">
        <v>2129</v>
      </c>
      <c r="S45" s="5">
        <v>42.294656670000002</v>
      </c>
      <c r="T45" s="5">
        <v>-71.058510650000002</v>
      </c>
    </row>
    <row r="46" spans="1:20" x14ac:dyDescent="0.3">
      <c r="A46" s="5" t="s">
        <v>228</v>
      </c>
      <c r="B46" s="6">
        <v>10684</v>
      </c>
      <c r="C46" s="6" t="str">
        <f t="shared" si="14"/>
        <v>Active/Unavailable</v>
      </c>
      <c r="D46" s="5" t="s">
        <v>29</v>
      </c>
      <c r="E46" s="5" t="s">
        <v>229</v>
      </c>
      <c r="F46" s="5" t="s">
        <v>230</v>
      </c>
      <c r="G46" s="5" t="str">
        <f t="shared" si="12"/>
        <v>Not Available</v>
      </c>
      <c r="H46" s="5" t="str">
        <f t="shared" ref="H46:H51" si="15">"Not Available"</f>
        <v>Not Available</v>
      </c>
      <c r="I46" s="5" t="s">
        <v>22</v>
      </c>
      <c r="J46" s="5" t="s">
        <v>3387</v>
      </c>
      <c r="K46" s="5" t="s">
        <v>3394</v>
      </c>
      <c r="L46" s="5" t="s">
        <v>22</v>
      </c>
      <c r="M46" s="5" t="s">
        <v>3435</v>
      </c>
      <c r="N46" s="5" t="s">
        <v>231</v>
      </c>
      <c r="O46" s="5" t="s">
        <v>108</v>
      </c>
      <c r="P46" s="5" t="s">
        <v>26</v>
      </c>
      <c r="Q46" s="5" t="s">
        <v>34</v>
      </c>
      <c r="R46" s="5">
        <v>2151</v>
      </c>
      <c r="S46" s="5">
        <v>42.406349616160703</v>
      </c>
      <c r="T46" s="5">
        <v>-70.973212759999996</v>
      </c>
    </row>
    <row r="47" spans="1:20" x14ac:dyDescent="0.3">
      <c r="A47" s="5" t="s">
        <v>232</v>
      </c>
      <c r="B47" s="6">
        <v>18711</v>
      </c>
      <c r="C47" s="6" t="str">
        <f t="shared" si="14"/>
        <v>Active/Unavailable</v>
      </c>
      <c r="D47" s="5" t="s">
        <v>29</v>
      </c>
      <c r="E47" s="5" t="s">
        <v>233</v>
      </c>
      <c r="F47" s="5" t="s">
        <v>234</v>
      </c>
      <c r="G47" s="5" t="str">
        <f t="shared" si="12"/>
        <v>Not Available</v>
      </c>
      <c r="H47" s="5" t="str">
        <f t="shared" si="15"/>
        <v>Not Available</v>
      </c>
      <c r="I47" s="5" t="s">
        <v>22</v>
      </c>
      <c r="J47" s="5" t="s">
        <v>3387</v>
      </c>
      <c r="K47" s="5" t="s">
        <v>3393</v>
      </c>
      <c r="L47" s="5" t="s">
        <v>22</v>
      </c>
      <c r="M47" s="5" t="s">
        <v>3436</v>
      </c>
      <c r="N47" s="5" t="s">
        <v>235</v>
      </c>
      <c r="O47" s="5" t="s">
        <v>33</v>
      </c>
      <c r="P47" s="5" t="s">
        <v>26</v>
      </c>
      <c r="Q47" s="5" t="s">
        <v>34</v>
      </c>
      <c r="R47" s="5">
        <v>2111</v>
      </c>
      <c r="S47" s="5">
        <v>42.337855144863298</v>
      </c>
      <c r="T47" s="5">
        <v>-71.055776769999994</v>
      </c>
    </row>
    <row r="48" spans="1:20" x14ac:dyDescent="0.3">
      <c r="A48" s="5" t="s">
        <v>236</v>
      </c>
      <c r="B48" s="6">
        <v>9452</v>
      </c>
      <c r="C48" s="6">
        <v>43247</v>
      </c>
      <c r="D48" s="5" t="s">
        <v>29</v>
      </c>
      <c r="E48" s="5" t="s">
        <v>237</v>
      </c>
      <c r="F48" s="5" t="s">
        <v>238</v>
      </c>
      <c r="G48" s="5" t="str">
        <f t="shared" si="12"/>
        <v>Not Available</v>
      </c>
      <c r="H48" s="5" t="str">
        <f t="shared" si="15"/>
        <v>Not Available</v>
      </c>
      <c r="I48" s="5" t="s">
        <v>22</v>
      </c>
      <c r="J48" s="5" t="s">
        <v>3389</v>
      </c>
      <c r="K48" s="5" t="s">
        <v>3393</v>
      </c>
      <c r="L48" s="5" t="s">
        <v>22</v>
      </c>
      <c r="M48" s="5" t="s">
        <v>3400</v>
      </c>
      <c r="N48" s="5" t="s">
        <v>239</v>
      </c>
      <c r="O48" s="5" t="s">
        <v>33</v>
      </c>
      <c r="P48" s="5" t="s">
        <v>26</v>
      </c>
      <c r="Q48" s="5" t="s">
        <v>34</v>
      </c>
      <c r="R48" s="5">
        <v>2110</v>
      </c>
      <c r="S48" s="5">
        <v>42.363299380000001</v>
      </c>
      <c r="T48" s="5">
        <v>-70.972455060000001</v>
      </c>
    </row>
    <row r="49" spans="1:20" x14ac:dyDescent="0.3">
      <c r="A49" s="5" t="s">
        <v>240</v>
      </c>
      <c r="B49" s="6">
        <v>9452</v>
      </c>
      <c r="C49" s="6">
        <v>41652</v>
      </c>
      <c r="D49" s="5" t="s">
        <v>29</v>
      </c>
      <c r="E49" s="5" t="s">
        <v>241</v>
      </c>
      <c r="F49" s="5" t="s">
        <v>97</v>
      </c>
      <c r="G49" s="5" t="str">
        <f t="shared" si="12"/>
        <v>Not Available</v>
      </c>
      <c r="H49" s="5" t="str">
        <f t="shared" si="15"/>
        <v>Not Available</v>
      </c>
      <c r="I49" s="5" t="s">
        <v>22</v>
      </c>
      <c r="J49" s="5" t="s">
        <v>3389</v>
      </c>
      <c r="K49" s="5" t="s">
        <v>3393</v>
      </c>
      <c r="L49" s="5" t="s">
        <v>22</v>
      </c>
      <c r="M49" s="5" t="s">
        <v>3437</v>
      </c>
      <c r="N49" s="5" t="s">
        <v>3693</v>
      </c>
      <c r="O49" s="5" t="s">
        <v>33</v>
      </c>
      <c r="P49" s="5" t="s">
        <v>26</v>
      </c>
      <c r="Q49" s="5" t="s">
        <v>34</v>
      </c>
      <c r="R49" s="5">
        <v>2121</v>
      </c>
      <c r="S49" s="5">
        <v>42.357405687225103</v>
      </c>
      <c r="T49" s="5">
        <v>-71.015686540000004</v>
      </c>
    </row>
    <row r="50" spans="1:20" x14ac:dyDescent="0.3">
      <c r="A50" s="5" t="s">
        <v>242</v>
      </c>
      <c r="B50" s="6">
        <v>9452</v>
      </c>
      <c r="C50" s="6" t="str">
        <f>"Active/Unavailable"</f>
        <v>Active/Unavailable</v>
      </c>
      <c r="D50" s="5" t="s">
        <v>29</v>
      </c>
      <c r="E50" s="5" t="s">
        <v>243</v>
      </c>
      <c r="F50" s="5" t="s">
        <v>244</v>
      </c>
      <c r="G50" s="5" t="str">
        <f t="shared" si="12"/>
        <v>Not Available</v>
      </c>
      <c r="H50" s="5" t="str">
        <f t="shared" si="15"/>
        <v>Not Available</v>
      </c>
      <c r="I50" s="5" t="s">
        <v>22</v>
      </c>
      <c r="J50" s="5" t="s">
        <v>3389</v>
      </c>
      <c r="K50" s="5" t="s">
        <v>3393</v>
      </c>
      <c r="L50" s="5" t="s">
        <v>22</v>
      </c>
      <c r="M50" s="5" t="s">
        <v>3438</v>
      </c>
      <c r="N50" s="5" t="s">
        <v>245</v>
      </c>
      <c r="O50" s="5" t="s">
        <v>33</v>
      </c>
      <c r="P50" s="5" t="s">
        <v>26</v>
      </c>
      <c r="Q50" s="5" t="s">
        <v>34</v>
      </c>
      <c r="R50" s="5">
        <v>2116</v>
      </c>
      <c r="S50" s="5">
        <v>42.37027921</v>
      </c>
      <c r="T50" s="5">
        <v>-71.116408210000003</v>
      </c>
    </row>
    <row r="51" spans="1:20" x14ac:dyDescent="0.3">
      <c r="A51" s="5" t="s">
        <v>246</v>
      </c>
      <c r="B51" s="6">
        <v>12960</v>
      </c>
      <c r="C51" s="6">
        <v>44209</v>
      </c>
      <c r="D51" s="5" t="s">
        <v>29</v>
      </c>
      <c r="E51" s="5" t="s">
        <v>3351</v>
      </c>
      <c r="F51" s="5" t="s">
        <v>247</v>
      </c>
      <c r="G51" s="5" t="str">
        <f t="shared" si="12"/>
        <v>Not Available</v>
      </c>
      <c r="H51" s="5" t="str">
        <f t="shared" si="15"/>
        <v>Not Available</v>
      </c>
      <c r="I51" s="5" t="s">
        <v>22</v>
      </c>
      <c r="J51" s="5" t="s">
        <v>3389</v>
      </c>
      <c r="K51" s="5" t="s">
        <v>3394</v>
      </c>
      <c r="L51" s="5" t="s">
        <v>22</v>
      </c>
      <c r="M51" s="5" t="s">
        <v>3439</v>
      </c>
      <c r="N51" s="5" t="s">
        <v>3694</v>
      </c>
      <c r="O51" s="5" t="s">
        <v>33</v>
      </c>
      <c r="P51" s="5" t="s">
        <v>26</v>
      </c>
      <c r="Q51" s="5" t="s">
        <v>34</v>
      </c>
      <c r="R51" s="5">
        <v>2129</v>
      </c>
      <c r="S51" s="5">
        <v>42.329066367153203</v>
      </c>
      <c r="T51" s="5">
        <v>-71.095621629999997</v>
      </c>
    </row>
    <row r="52" spans="1:20" x14ac:dyDescent="0.3">
      <c r="A52" s="5" t="s">
        <v>248</v>
      </c>
      <c r="B52" s="6">
        <v>32554</v>
      </c>
      <c r="C52" s="6" t="str">
        <f>"Active/Unavailable"</f>
        <v>Active/Unavailable</v>
      </c>
      <c r="D52" s="5" t="s">
        <v>18</v>
      </c>
      <c r="E52" s="5" t="s">
        <v>249</v>
      </c>
      <c r="F52" s="5" t="s">
        <v>250</v>
      </c>
      <c r="G52" s="5" t="str">
        <f t="shared" si="12"/>
        <v>Not Available</v>
      </c>
      <c r="H52" s="5" t="s">
        <v>115</v>
      </c>
      <c r="I52" s="5" t="s">
        <v>22</v>
      </c>
      <c r="J52" s="5" t="s">
        <v>3387</v>
      </c>
      <c r="K52" s="5" t="s">
        <v>3393</v>
      </c>
      <c r="L52" s="5" t="s">
        <v>23</v>
      </c>
      <c r="M52" s="5" t="s">
        <v>3440</v>
      </c>
      <c r="N52" s="5" t="s">
        <v>251</v>
      </c>
      <c r="O52" s="5" t="s">
        <v>33</v>
      </c>
      <c r="P52" s="5" t="s">
        <v>26</v>
      </c>
      <c r="Q52" s="5" t="s">
        <v>34</v>
      </c>
      <c r="R52" s="5">
        <v>2120</v>
      </c>
      <c r="S52" s="5">
        <v>42.326011513069503</v>
      </c>
      <c r="T52" s="5">
        <v>-71.064846990000007</v>
      </c>
    </row>
    <row r="53" spans="1:20" x14ac:dyDescent="0.3">
      <c r="A53" s="5" t="s">
        <v>252</v>
      </c>
      <c r="B53" s="6">
        <v>12960</v>
      </c>
      <c r="C53" s="6">
        <v>43616</v>
      </c>
      <c r="D53" s="5" t="s">
        <v>29</v>
      </c>
      <c r="E53" s="5" t="s">
        <v>253</v>
      </c>
      <c r="F53" s="5" t="s">
        <v>254</v>
      </c>
      <c r="G53" s="5" t="str">
        <f t="shared" si="12"/>
        <v>Not Available</v>
      </c>
      <c r="H53" s="5" t="str">
        <f>"Not Available"</f>
        <v>Not Available</v>
      </c>
      <c r="I53" s="5" t="s">
        <v>22</v>
      </c>
      <c r="J53" s="5" t="s">
        <v>3389</v>
      </c>
      <c r="K53" s="5" t="s">
        <v>3394</v>
      </c>
      <c r="L53" s="5" t="s">
        <v>22</v>
      </c>
      <c r="M53" s="5" t="s">
        <v>3441</v>
      </c>
      <c r="N53" s="5" t="s">
        <v>255</v>
      </c>
      <c r="O53" s="5" t="s">
        <v>33</v>
      </c>
      <c r="P53" s="5" t="s">
        <v>26</v>
      </c>
      <c r="Q53" s="5" t="s">
        <v>34</v>
      </c>
      <c r="R53" s="5">
        <v>2129</v>
      </c>
      <c r="S53" s="5">
        <v>42.283601122377902</v>
      </c>
      <c r="T53" s="5">
        <v>-71.041734610000006</v>
      </c>
    </row>
    <row r="54" spans="1:20" x14ac:dyDescent="0.3">
      <c r="A54" s="5" t="s">
        <v>256</v>
      </c>
      <c r="B54" s="6">
        <v>8967</v>
      </c>
      <c r="C54" s="6">
        <v>42613</v>
      </c>
      <c r="D54" s="5" t="s">
        <v>18</v>
      </c>
      <c r="E54" s="5" t="s">
        <v>257</v>
      </c>
      <c r="F54" s="5" t="s">
        <v>258</v>
      </c>
      <c r="G54" s="5" t="str">
        <f t="shared" si="12"/>
        <v>Not Available</v>
      </c>
      <c r="H54" s="5" t="s">
        <v>259</v>
      </c>
      <c r="I54" s="5" t="s">
        <v>22</v>
      </c>
      <c r="J54" s="5" t="s">
        <v>3388</v>
      </c>
      <c r="K54" s="5" t="s">
        <v>3393</v>
      </c>
      <c r="L54" s="5" t="s">
        <v>23</v>
      </c>
      <c r="M54" s="5" t="s">
        <v>3400</v>
      </c>
      <c r="N54" s="5" t="s">
        <v>260</v>
      </c>
      <c r="O54" s="5" t="s">
        <v>33</v>
      </c>
      <c r="P54" s="5" t="s">
        <v>26</v>
      </c>
      <c r="Q54" s="5" t="s">
        <v>34</v>
      </c>
      <c r="R54" s="5">
        <v>2135</v>
      </c>
      <c r="S54" s="5">
        <v>42.379194648773499</v>
      </c>
      <c r="T54" s="5">
        <v>-71.059305649999999</v>
      </c>
    </row>
    <row r="55" spans="1:20" x14ac:dyDescent="0.3">
      <c r="A55" s="5" t="s">
        <v>261</v>
      </c>
      <c r="B55" s="6">
        <v>27712</v>
      </c>
      <c r="C55" s="6" t="str">
        <f>"Active/Unavailable"</f>
        <v>Active/Unavailable</v>
      </c>
      <c r="D55" s="5" t="s">
        <v>18</v>
      </c>
      <c r="E55" s="5" t="s">
        <v>262</v>
      </c>
      <c r="F55" s="5" t="s">
        <v>263</v>
      </c>
      <c r="G55" s="5" t="str">
        <f t="shared" si="12"/>
        <v>Not Available</v>
      </c>
      <c r="H55" s="5" t="s">
        <v>264</v>
      </c>
      <c r="I55" s="5" t="s">
        <v>22</v>
      </c>
      <c r="J55" s="5" t="s">
        <v>3387</v>
      </c>
      <c r="K55" s="5" t="s">
        <v>3393</v>
      </c>
      <c r="L55" s="5" t="s">
        <v>23</v>
      </c>
      <c r="M55" s="5" t="s">
        <v>3442</v>
      </c>
      <c r="N55" s="5" t="s">
        <v>265</v>
      </c>
      <c r="O55" s="5" t="s">
        <v>108</v>
      </c>
      <c r="P55" s="5" t="s">
        <v>26</v>
      </c>
      <c r="Q55" s="5" t="s">
        <v>34</v>
      </c>
      <c r="R55" s="5" t="str">
        <f>"0000"</f>
        <v>0000</v>
      </c>
      <c r="S55" s="5">
        <v>42.374372891229697</v>
      </c>
      <c r="T55" s="5">
        <v>-70.954641649999999</v>
      </c>
    </row>
    <row r="56" spans="1:20" x14ac:dyDescent="0.3">
      <c r="A56" s="5" t="s">
        <v>266</v>
      </c>
      <c r="B56" s="6">
        <v>26721</v>
      </c>
      <c r="C56" s="6">
        <v>42779</v>
      </c>
      <c r="D56" s="5" t="s">
        <v>29</v>
      </c>
      <c r="E56" s="5" t="s">
        <v>267</v>
      </c>
      <c r="F56" s="5" t="s">
        <v>268</v>
      </c>
      <c r="G56" s="5" t="str">
        <f t="shared" si="12"/>
        <v>Not Available</v>
      </c>
      <c r="H56" s="5" t="str">
        <f t="shared" ref="H56:H57" si="16">"Not Available"</f>
        <v>Not Available</v>
      </c>
      <c r="I56" s="5" t="s">
        <v>22</v>
      </c>
      <c r="J56" s="5" t="s">
        <v>3387</v>
      </c>
      <c r="K56" s="5" t="s">
        <v>3393</v>
      </c>
      <c r="L56" s="5" t="s">
        <v>22</v>
      </c>
      <c r="M56" s="5" t="s">
        <v>3443</v>
      </c>
      <c r="N56" s="5" t="s">
        <v>269</v>
      </c>
      <c r="O56" s="5" t="s">
        <v>33</v>
      </c>
      <c r="P56" s="5" t="s">
        <v>26</v>
      </c>
      <c r="Q56" s="5" t="s">
        <v>34</v>
      </c>
      <c r="R56" s="5">
        <v>2121</v>
      </c>
      <c r="S56" s="5">
        <v>42.3547437196898</v>
      </c>
      <c r="T56" s="5">
        <v>-71.037716349999997</v>
      </c>
    </row>
    <row r="57" spans="1:20" x14ac:dyDescent="0.3">
      <c r="A57" s="5" t="s">
        <v>270</v>
      </c>
      <c r="B57" s="6">
        <v>23973</v>
      </c>
      <c r="C57" s="6" t="str">
        <f t="shared" ref="C57:C61" si="17">"Active/Unavailable"</f>
        <v>Active/Unavailable</v>
      </c>
      <c r="D57" s="5" t="s">
        <v>29</v>
      </c>
      <c r="E57" s="5" t="s">
        <v>271</v>
      </c>
      <c r="F57" s="5" t="s">
        <v>272</v>
      </c>
      <c r="G57" s="5" t="str">
        <f t="shared" si="12"/>
        <v>Not Available</v>
      </c>
      <c r="H57" s="5" t="str">
        <f t="shared" si="16"/>
        <v>Not Available</v>
      </c>
      <c r="I57" s="5" t="s">
        <v>22</v>
      </c>
      <c r="J57" s="5" t="s">
        <v>3387</v>
      </c>
      <c r="K57" s="5" t="s">
        <v>3393</v>
      </c>
      <c r="L57" s="5" t="s">
        <v>22</v>
      </c>
      <c r="M57" s="5" t="s">
        <v>3412</v>
      </c>
      <c r="N57" s="5" t="s">
        <v>273</v>
      </c>
      <c r="O57" s="5" t="s">
        <v>274</v>
      </c>
      <c r="P57" s="5" t="s">
        <v>26</v>
      </c>
      <c r="Q57" s="5" t="s">
        <v>57</v>
      </c>
      <c r="R57" s="5">
        <v>2180</v>
      </c>
      <c r="S57" s="5">
        <v>42.453898589870803</v>
      </c>
      <c r="T57" s="5">
        <v>-71.146724930000005</v>
      </c>
    </row>
    <row r="58" spans="1:20" x14ac:dyDescent="0.3">
      <c r="A58" s="5" t="s">
        <v>275</v>
      </c>
      <c r="B58" s="6">
        <v>16690</v>
      </c>
      <c r="C58" s="6" t="str">
        <f t="shared" si="17"/>
        <v>Active/Unavailable</v>
      </c>
      <c r="D58" s="5" t="s">
        <v>18</v>
      </c>
      <c r="E58" s="5" t="s">
        <v>276</v>
      </c>
      <c r="F58" s="5" t="s">
        <v>277</v>
      </c>
      <c r="G58" s="5" t="str">
        <f t="shared" si="12"/>
        <v>Not Available</v>
      </c>
      <c r="H58" s="5" t="s">
        <v>278</v>
      </c>
      <c r="I58" s="5" t="s">
        <v>22</v>
      </c>
      <c r="J58" s="5" t="s">
        <v>3387</v>
      </c>
      <c r="K58" s="5" t="s">
        <v>3393</v>
      </c>
      <c r="L58" s="5" t="s">
        <v>23</v>
      </c>
      <c r="M58" s="5" t="s">
        <v>3442</v>
      </c>
      <c r="N58" s="5" t="s">
        <v>279</v>
      </c>
      <c r="O58" s="5" t="s">
        <v>33</v>
      </c>
      <c r="P58" s="5" t="s">
        <v>26</v>
      </c>
      <c r="Q58" s="5" t="s">
        <v>34</v>
      </c>
      <c r="R58" s="5">
        <v>2203</v>
      </c>
      <c r="S58" s="5">
        <v>42.2673350545871</v>
      </c>
      <c r="T58" s="5">
        <v>-71.014169339999995</v>
      </c>
    </row>
    <row r="59" spans="1:20" x14ac:dyDescent="0.3">
      <c r="A59" s="5" t="s">
        <v>280</v>
      </c>
      <c r="B59" s="6">
        <v>10172</v>
      </c>
      <c r="C59" s="6" t="str">
        <f t="shared" si="17"/>
        <v>Active/Unavailable</v>
      </c>
      <c r="D59" s="5" t="s">
        <v>18</v>
      </c>
      <c r="E59" s="5" t="s">
        <v>281</v>
      </c>
      <c r="F59" s="5" t="s">
        <v>282</v>
      </c>
      <c r="G59" s="5" t="str">
        <f t="shared" si="12"/>
        <v>Not Available</v>
      </c>
      <c r="H59" s="5" t="s">
        <v>96</v>
      </c>
      <c r="I59" s="5" t="s">
        <v>22</v>
      </c>
      <c r="J59" s="5" t="s">
        <v>3387</v>
      </c>
      <c r="K59" s="5" t="s">
        <v>3393</v>
      </c>
      <c r="L59" s="5" t="s">
        <v>23</v>
      </c>
      <c r="M59" s="5" t="s">
        <v>3444</v>
      </c>
      <c r="N59" s="5" t="s">
        <v>283</v>
      </c>
      <c r="O59" s="5" t="s">
        <v>33</v>
      </c>
      <c r="P59" s="5" t="s">
        <v>26</v>
      </c>
      <c r="Q59" s="5" t="s">
        <v>34</v>
      </c>
      <c r="R59" s="5">
        <v>2122</v>
      </c>
      <c r="S59" s="5">
        <v>42.328365318245602</v>
      </c>
      <c r="T59" s="5">
        <v>-71.132221470000005</v>
      </c>
    </row>
    <row r="60" spans="1:20" x14ac:dyDescent="0.3">
      <c r="A60" s="5" t="s">
        <v>284</v>
      </c>
      <c r="B60" s="6">
        <v>18472</v>
      </c>
      <c r="C60" s="6" t="str">
        <f t="shared" si="17"/>
        <v>Active/Unavailable</v>
      </c>
      <c r="D60" s="5" t="s">
        <v>29</v>
      </c>
      <c r="E60" s="5" t="s">
        <v>285</v>
      </c>
      <c r="F60" s="5" t="s">
        <v>286</v>
      </c>
      <c r="G60" s="5" t="str">
        <f t="shared" si="12"/>
        <v>Not Available</v>
      </c>
      <c r="H60" s="5" t="str">
        <f>"Not Available"</f>
        <v>Not Available</v>
      </c>
      <c r="I60" s="5" t="s">
        <v>22</v>
      </c>
      <c r="J60" s="5" t="s">
        <v>3387</v>
      </c>
      <c r="K60" s="5" t="s">
        <v>3394</v>
      </c>
      <c r="L60" s="5" t="s">
        <v>22</v>
      </c>
      <c r="M60" s="5" t="s">
        <v>3442</v>
      </c>
      <c r="N60" s="5" t="s">
        <v>287</v>
      </c>
      <c r="O60" s="5" t="s">
        <v>33</v>
      </c>
      <c r="P60" s="5" t="s">
        <v>26</v>
      </c>
      <c r="Q60" s="5" t="s">
        <v>34</v>
      </c>
      <c r="R60" s="5">
        <v>2135</v>
      </c>
      <c r="S60" s="5">
        <v>42.320853198095897</v>
      </c>
      <c r="T60" s="5">
        <v>-71.054002080000004</v>
      </c>
    </row>
    <row r="61" spans="1:20" x14ac:dyDescent="0.3">
      <c r="A61" s="5" t="s">
        <v>288</v>
      </c>
      <c r="B61" s="6">
        <v>29030</v>
      </c>
      <c r="C61" s="6" t="str">
        <f t="shared" si="17"/>
        <v>Active/Unavailable</v>
      </c>
      <c r="D61" s="5" t="s">
        <v>18</v>
      </c>
      <c r="E61" s="5" t="s">
        <v>289</v>
      </c>
      <c r="F61" s="5" t="s">
        <v>290</v>
      </c>
      <c r="G61" s="5" t="str">
        <f t="shared" si="12"/>
        <v>Not Available</v>
      </c>
      <c r="H61" s="5" t="s">
        <v>291</v>
      </c>
      <c r="I61" s="5" t="s">
        <v>22</v>
      </c>
      <c r="J61" s="5" t="s">
        <v>3389</v>
      </c>
      <c r="K61" s="5" t="s">
        <v>3393</v>
      </c>
      <c r="L61" s="5" t="s">
        <v>23</v>
      </c>
      <c r="M61" s="5" t="s">
        <v>3427</v>
      </c>
      <c r="N61" s="5" t="s">
        <v>292</v>
      </c>
      <c r="O61" s="5" t="s">
        <v>33</v>
      </c>
      <c r="P61" s="5" t="s">
        <v>26</v>
      </c>
      <c r="Q61" s="5" t="s">
        <v>34</v>
      </c>
      <c r="R61" s="5">
        <v>2163</v>
      </c>
      <c r="S61" s="5">
        <v>42.377168050704398</v>
      </c>
      <c r="T61" s="5">
        <v>-71.031833750000004</v>
      </c>
    </row>
    <row r="62" spans="1:20" x14ac:dyDescent="0.3">
      <c r="A62" s="5" t="s">
        <v>293</v>
      </c>
      <c r="B62" s="6">
        <v>21595</v>
      </c>
      <c r="C62" s="6">
        <v>44131</v>
      </c>
      <c r="D62" s="5" t="s">
        <v>18</v>
      </c>
      <c r="E62" s="5" t="s">
        <v>294</v>
      </c>
      <c r="F62" s="5" t="s">
        <v>295</v>
      </c>
      <c r="G62" s="5" t="str">
        <f t="shared" si="12"/>
        <v>Not Available</v>
      </c>
      <c r="H62" s="5" t="s">
        <v>296</v>
      </c>
      <c r="I62" s="5" t="s">
        <v>22</v>
      </c>
      <c r="J62" s="5" t="s">
        <v>3387</v>
      </c>
      <c r="K62" s="5" t="s">
        <v>3393</v>
      </c>
      <c r="L62" s="5" t="s">
        <v>23</v>
      </c>
      <c r="M62" s="5" t="s">
        <v>3445</v>
      </c>
      <c r="N62" s="5" t="s">
        <v>297</v>
      </c>
      <c r="O62" s="5" t="s">
        <v>56</v>
      </c>
      <c r="P62" s="5" t="s">
        <v>26</v>
      </c>
      <c r="Q62" s="5" t="s">
        <v>57</v>
      </c>
      <c r="R62" s="5">
        <v>2142</v>
      </c>
      <c r="S62" s="5">
        <v>42.3716327461552</v>
      </c>
      <c r="T62" s="5">
        <v>-71.04472251</v>
      </c>
    </row>
    <row r="63" spans="1:20" x14ac:dyDescent="0.3">
      <c r="A63" s="5" t="s">
        <v>298</v>
      </c>
      <c r="B63" s="6">
        <v>13455</v>
      </c>
      <c r="C63" s="6" t="str">
        <f t="shared" ref="C63:C69" si="18">"Active/Unavailable"</f>
        <v>Active/Unavailable</v>
      </c>
      <c r="D63" s="5" t="s">
        <v>29</v>
      </c>
      <c r="E63" s="5" t="s">
        <v>299</v>
      </c>
      <c r="F63" s="5" t="s">
        <v>300</v>
      </c>
      <c r="G63" s="5" t="str">
        <f t="shared" si="12"/>
        <v>Not Available</v>
      </c>
      <c r="H63" s="5" t="str">
        <f>"Not Available"</f>
        <v>Not Available</v>
      </c>
      <c r="I63" s="5" t="s">
        <v>22</v>
      </c>
      <c r="J63" s="5" t="s">
        <v>3388</v>
      </c>
      <c r="K63" s="5" t="s">
        <v>3393</v>
      </c>
      <c r="L63" s="5" t="s">
        <v>22</v>
      </c>
      <c r="M63" s="5" t="s">
        <v>3446</v>
      </c>
      <c r="N63" s="5" t="s">
        <v>301</v>
      </c>
      <c r="O63" s="5" t="s">
        <v>56</v>
      </c>
      <c r="P63" s="5" t="s">
        <v>26</v>
      </c>
      <c r="Q63" s="5" t="s">
        <v>57</v>
      </c>
      <c r="R63" s="5" t="str">
        <f>"0000"</f>
        <v>0000</v>
      </c>
      <c r="S63" s="5">
        <v>42.344047357734702</v>
      </c>
      <c r="T63" s="5">
        <v>-71.128325759999996</v>
      </c>
    </row>
    <row r="64" spans="1:20" x14ac:dyDescent="0.3">
      <c r="A64" s="5" t="s">
        <v>302</v>
      </c>
      <c r="B64" s="6">
        <v>16818</v>
      </c>
      <c r="C64" s="6" t="str">
        <f t="shared" si="18"/>
        <v>Active/Unavailable</v>
      </c>
      <c r="D64" s="5" t="s">
        <v>18</v>
      </c>
      <c r="E64" s="5" t="s">
        <v>303</v>
      </c>
      <c r="F64" s="5" t="s">
        <v>304</v>
      </c>
      <c r="G64" s="5" t="str">
        <f t="shared" si="12"/>
        <v>Not Available</v>
      </c>
      <c r="H64" s="5" t="s">
        <v>305</v>
      </c>
      <c r="I64" s="5" t="s">
        <v>22</v>
      </c>
      <c r="J64" s="5" t="s">
        <v>3389</v>
      </c>
      <c r="K64" s="5" t="s">
        <v>3393</v>
      </c>
      <c r="L64" s="5" t="s">
        <v>23</v>
      </c>
      <c r="M64" s="5" t="s">
        <v>3430</v>
      </c>
      <c r="N64" s="5" t="s">
        <v>306</v>
      </c>
      <c r="O64" s="5" t="s">
        <v>33</v>
      </c>
      <c r="P64" s="5" t="s">
        <v>26</v>
      </c>
      <c r="Q64" s="5" t="s">
        <v>34</v>
      </c>
      <c r="R64" s="5">
        <v>2134</v>
      </c>
      <c r="S64" s="5">
        <v>42.340220541419697</v>
      </c>
      <c r="T64" s="5">
        <v>-71.003474220000001</v>
      </c>
    </row>
    <row r="65" spans="1:20" x14ac:dyDescent="0.3">
      <c r="A65" s="5" t="s">
        <v>307</v>
      </c>
      <c r="B65" s="6">
        <v>11102</v>
      </c>
      <c r="C65" s="6" t="str">
        <f t="shared" si="18"/>
        <v>Active/Unavailable</v>
      </c>
      <c r="D65" s="5" t="s">
        <v>29</v>
      </c>
      <c r="E65" s="5" t="s">
        <v>308</v>
      </c>
      <c r="F65" s="5" t="s">
        <v>309</v>
      </c>
      <c r="G65" s="5" t="str">
        <f t="shared" si="12"/>
        <v>Not Available</v>
      </c>
      <c r="H65" s="5" t="str">
        <f t="shared" ref="H65:H66" si="19">"Not Available"</f>
        <v>Not Available</v>
      </c>
      <c r="I65" s="5" t="s">
        <v>22</v>
      </c>
      <c r="J65" s="5" t="s">
        <v>3387</v>
      </c>
      <c r="K65" s="5" t="s">
        <v>3393</v>
      </c>
      <c r="L65" s="5" t="s">
        <v>22</v>
      </c>
      <c r="M65" s="5" t="s">
        <v>3419</v>
      </c>
      <c r="N65" s="5" t="s">
        <v>310</v>
      </c>
      <c r="O65" s="5" t="s">
        <v>209</v>
      </c>
      <c r="P65" s="5" t="s">
        <v>26</v>
      </c>
      <c r="Q65" s="5" t="s">
        <v>27</v>
      </c>
      <c r="R65" s="5">
        <v>2191</v>
      </c>
      <c r="S65" s="5">
        <v>42.222419714430103</v>
      </c>
      <c r="T65" s="5">
        <v>-70.933335319999998</v>
      </c>
    </row>
    <row r="66" spans="1:20" x14ac:dyDescent="0.3">
      <c r="A66" s="5" t="s">
        <v>311</v>
      </c>
      <c r="B66" s="6">
        <v>29888</v>
      </c>
      <c r="C66" s="6" t="str">
        <f t="shared" si="18"/>
        <v>Active/Unavailable</v>
      </c>
      <c r="D66" s="5" t="s">
        <v>29</v>
      </c>
      <c r="E66" s="5" t="s">
        <v>312</v>
      </c>
      <c r="F66" s="5" t="s">
        <v>313</v>
      </c>
      <c r="G66" s="5" t="s">
        <v>314</v>
      </c>
      <c r="H66" s="5" t="str">
        <f t="shared" si="19"/>
        <v>Not Available</v>
      </c>
      <c r="I66" s="5" t="s">
        <v>22</v>
      </c>
      <c r="J66" s="5" t="s">
        <v>3387</v>
      </c>
      <c r="K66" s="5" t="s">
        <v>3393</v>
      </c>
      <c r="L66" s="5" t="s">
        <v>22</v>
      </c>
      <c r="M66" s="5" t="s">
        <v>3447</v>
      </c>
      <c r="N66" s="5" t="s">
        <v>315</v>
      </c>
      <c r="O66" s="5" t="s">
        <v>316</v>
      </c>
      <c r="P66" s="5" t="s">
        <v>26</v>
      </c>
      <c r="Q66" s="5" t="s">
        <v>317</v>
      </c>
      <c r="R66" s="5" t="str">
        <f t="shared" ref="R66:R69" si="20">"0000"</f>
        <v>0000</v>
      </c>
      <c r="S66" s="5">
        <v>42.210718248665401</v>
      </c>
      <c r="T66" s="5">
        <v>-70.906335330000005</v>
      </c>
    </row>
    <row r="67" spans="1:20" x14ac:dyDescent="0.3">
      <c r="A67" s="5" t="s">
        <v>318</v>
      </c>
      <c r="B67" s="6">
        <v>26171</v>
      </c>
      <c r="C67" s="6" t="str">
        <f t="shared" si="18"/>
        <v>Active/Unavailable</v>
      </c>
      <c r="D67" s="5" t="s">
        <v>18</v>
      </c>
      <c r="E67" s="5" t="s">
        <v>319</v>
      </c>
      <c r="F67" s="5" t="s">
        <v>320</v>
      </c>
      <c r="G67" s="5" t="str">
        <f t="shared" ref="G67:G85" si="21">"Not Available"</f>
        <v>Not Available</v>
      </c>
      <c r="H67" s="5" t="s">
        <v>286</v>
      </c>
      <c r="I67" s="5" t="s">
        <v>22</v>
      </c>
      <c r="J67" s="5" t="s">
        <v>3387</v>
      </c>
      <c r="K67" s="5" t="s">
        <v>3394</v>
      </c>
      <c r="L67" s="5" t="s">
        <v>23</v>
      </c>
      <c r="M67" s="5" t="s">
        <v>3448</v>
      </c>
      <c r="N67" s="5" t="s">
        <v>321</v>
      </c>
      <c r="O67" s="5" t="s">
        <v>172</v>
      </c>
      <c r="P67" s="5" t="s">
        <v>26</v>
      </c>
      <c r="Q67" s="5" t="s">
        <v>34</v>
      </c>
      <c r="R67" s="5" t="str">
        <f t="shared" si="20"/>
        <v>0000</v>
      </c>
      <c r="S67" s="5">
        <v>42.378654345129497</v>
      </c>
      <c r="T67" s="5">
        <v>-70.983877519999993</v>
      </c>
    </row>
    <row r="68" spans="1:20" x14ac:dyDescent="0.3">
      <c r="A68" s="5" t="s">
        <v>322</v>
      </c>
      <c r="B68" s="6">
        <v>25283</v>
      </c>
      <c r="C68" s="6" t="str">
        <f t="shared" si="18"/>
        <v>Active/Unavailable</v>
      </c>
      <c r="D68" s="5" t="s">
        <v>29</v>
      </c>
      <c r="E68" s="5" t="s">
        <v>323</v>
      </c>
      <c r="F68" s="5" t="s">
        <v>3359</v>
      </c>
      <c r="G68" s="5" t="str">
        <f t="shared" si="21"/>
        <v>Not Available</v>
      </c>
      <c r="H68" s="5" t="str">
        <f>"Not Available"</f>
        <v>Not Available</v>
      </c>
      <c r="I68" s="5" t="s">
        <v>22</v>
      </c>
      <c r="J68" s="5" t="s">
        <v>3387</v>
      </c>
      <c r="K68" s="5" t="s">
        <v>3394</v>
      </c>
      <c r="L68" s="5" t="s">
        <v>22</v>
      </c>
      <c r="M68" s="5" t="s">
        <v>3449</v>
      </c>
      <c r="N68" s="5" t="s">
        <v>324</v>
      </c>
      <c r="O68" s="5" t="s">
        <v>136</v>
      </c>
      <c r="P68" s="5" t="s">
        <v>26</v>
      </c>
      <c r="Q68" s="5" t="s">
        <v>27</v>
      </c>
      <c r="R68" s="5" t="str">
        <f t="shared" si="20"/>
        <v>0000</v>
      </c>
      <c r="S68" s="5">
        <v>42.230661583901203</v>
      </c>
      <c r="T68" s="5">
        <v>-70.836486669999999</v>
      </c>
    </row>
    <row r="69" spans="1:20" x14ac:dyDescent="0.3">
      <c r="A69" s="5" t="s">
        <v>325</v>
      </c>
      <c r="B69" s="6">
        <v>24337</v>
      </c>
      <c r="C69" s="6" t="str">
        <f t="shared" si="18"/>
        <v>Active/Unavailable</v>
      </c>
      <c r="D69" s="5" t="s">
        <v>18</v>
      </c>
      <c r="E69" s="5" t="s">
        <v>326</v>
      </c>
      <c r="F69" s="5" t="s">
        <v>327</v>
      </c>
      <c r="G69" s="5" t="str">
        <f t="shared" si="21"/>
        <v>Not Available</v>
      </c>
      <c r="H69" s="5" t="s">
        <v>328</v>
      </c>
      <c r="I69" s="5" t="s">
        <v>22</v>
      </c>
      <c r="J69" s="5" t="s">
        <v>3387</v>
      </c>
      <c r="K69" s="5" t="s">
        <v>3393</v>
      </c>
      <c r="L69" s="5" t="s">
        <v>23</v>
      </c>
      <c r="M69" s="5" t="s">
        <v>3398</v>
      </c>
      <c r="N69" s="5" t="s">
        <v>329</v>
      </c>
      <c r="O69" s="5" t="s">
        <v>25</v>
      </c>
      <c r="P69" s="5" t="s">
        <v>26</v>
      </c>
      <c r="Q69" s="5" t="s">
        <v>27</v>
      </c>
      <c r="R69" s="5" t="str">
        <f t="shared" si="20"/>
        <v>0000</v>
      </c>
      <c r="S69" s="5">
        <v>42.291367731829403</v>
      </c>
      <c r="T69" s="5">
        <v>-71.047865779999995</v>
      </c>
    </row>
    <row r="70" spans="1:20" x14ac:dyDescent="0.3">
      <c r="A70" s="5" t="s">
        <v>330</v>
      </c>
      <c r="B70" s="6">
        <v>8187</v>
      </c>
      <c r="C70" s="6">
        <v>41101</v>
      </c>
      <c r="D70" s="5" t="s">
        <v>29</v>
      </c>
      <c r="E70" s="5" t="s">
        <v>331</v>
      </c>
      <c r="F70" s="5" t="s">
        <v>332</v>
      </c>
      <c r="G70" s="5" t="str">
        <f t="shared" si="21"/>
        <v>Not Available</v>
      </c>
      <c r="H70" s="5" t="str">
        <f t="shared" ref="H70:H74" si="22">"Not Available"</f>
        <v>Not Available</v>
      </c>
      <c r="I70" s="5" t="s">
        <v>22</v>
      </c>
      <c r="J70" s="5" t="s">
        <v>3387</v>
      </c>
      <c r="K70" s="5" t="s">
        <v>3394</v>
      </c>
      <c r="L70" s="5" t="s">
        <v>22</v>
      </c>
      <c r="M70" s="5" t="s">
        <v>3450</v>
      </c>
      <c r="N70" s="5" t="s">
        <v>333</v>
      </c>
      <c r="O70" s="5" t="s">
        <v>33</v>
      </c>
      <c r="P70" s="5" t="s">
        <v>26</v>
      </c>
      <c r="Q70" s="5" t="s">
        <v>34</v>
      </c>
      <c r="R70" s="5">
        <v>2118</v>
      </c>
      <c r="S70" s="5">
        <v>42.355264057330302</v>
      </c>
      <c r="T70" s="5">
        <v>-71.041533279999996</v>
      </c>
    </row>
    <row r="71" spans="1:20" x14ac:dyDescent="0.3">
      <c r="A71" s="5" t="s">
        <v>334</v>
      </c>
      <c r="B71" s="6">
        <v>22985</v>
      </c>
      <c r="C71" s="6" t="str">
        <f>"Active/Unavailable"</f>
        <v>Active/Unavailable</v>
      </c>
      <c r="D71" s="5" t="s">
        <v>29</v>
      </c>
      <c r="E71" s="5" t="s">
        <v>335</v>
      </c>
      <c r="F71" s="5" t="s">
        <v>336</v>
      </c>
      <c r="G71" s="5" t="str">
        <f t="shared" si="21"/>
        <v>Not Available</v>
      </c>
      <c r="H71" s="5" t="str">
        <f t="shared" si="22"/>
        <v>Not Available</v>
      </c>
      <c r="I71" s="5" t="s">
        <v>22</v>
      </c>
      <c r="J71" s="5" t="s">
        <v>3387</v>
      </c>
      <c r="K71" s="5" t="s">
        <v>3393</v>
      </c>
      <c r="L71" s="5" t="s">
        <v>22</v>
      </c>
      <c r="M71" s="5" t="s">
        <v>3451</v>
      </c>
      <c r="N71" s="5" t="s">
        <v>337</v>
      </c>
      <c r="O71" s="5" t="s">
        <v>33</v>
      </c>
      <c r="P71" s="5" t="s">
        <v>26</v>
      </c>
      <c r="Q71" s="5" t="s">
        <v>34</v>
      </c>
      <c r="R71" s="5">
        <v>2120</v>
      </c>
      <c r="S71" s="5">
        <v>42.3817326208681</v>
      </c>
      <c r="T71" s="5">
        <v>-71.074129970000001</v>
      </c>
    </row>
    <row r="72" spans="1:20" x14ac:dyDescent="0.3">
      <c r="A72" s="5" t="s">
        <v>338</v>
      </c>
      <c r="B72" s="6">
        <v>8187</v>
      </c>
      <c r="C72" s="6">
        <v>41515</v>
      </c>
      <c r="D72" s="5" t="s">
        <v>29</v>
      </c>
      <c r="E72" s="5" t="s">
        <v>339</v>
      </c>
      <c r="F72" s="5" t="s">
        <v>340</v>
      </c>
      <c r="G72" s="5" t="str">
        <f t="shared" si="21"/>
        <v>Not Available</v>
      </c>
      <c r="H72" s="5" t="str">
        <f t="shared" si="22"/>
        <v>Not Available</v>
      </c>
      <c r="I72" s="5" t="s">
        <v>65</v>
      </c>
      <c r="J72" s="5" t="s">
        <v>3387</v>
      </c>
      <c r="K72" s="5" t="s">
        <v>3394</v>
      </c>
      <c r="L72" s="5" t="s">
        <v>22</v>
      </c>
      <c r="M72" s="5" t="s">
        <v>3439</v>
      </c>
      <c r="N72" s="5" t="s">
        <v>341</v>
      </c>
      <c r="O72" s="5" t="s">
        <v>33</v>
      </c>
      <c r="P72" s="5" t="s">
        <v>26</v>
      </c>
      <c r="Q72" s="5" t="s">
        <v>34</v>
      </c>
      <c r="R72" s="5">
        <v>2109</v>
      </c>
      <c r="S72" s="5">
        <v>42.365414495907601</v>
      </c>
      <c r="T72" s="5">
        <v>-71.031794180000006</v>
      </c>
    </row>
    <row r="73" spans="1:20" x14ac:dyDescent="0.3">
      <c r="A73" s="5" t="s">
        <v>342</v>
      </c>
      <c r="B73" s="6">
        <v>25244</v>
      </c>
      <c r="C73" s="6" t="str">
        <f t="shared" ref="C73:C75" si="23">"Active/Unavailable"</f>
        <v>Active/Unavailable</v>
      </c>
      <c r="D73" s="5" t="s">
        <v>29</v>
      </c>
      <c r="E73" s="5" t="s">
        <v>343</v>
      </c>
      <c r="F73" s="5" t="s">
        <v>344</v>
      </c>
      <c r="G73" s="5" t="str">
        <f t="shared" si="21"/>
        <v>Not Available</v>
      </c>
      <c r="H73" s="5" t="str">
        <f t="shared" si="22"/>
        <v>Not Available</v>
      </c>
      <c r="I73" s="5" t="s">
        <v>22</v>
      </c>
      <c r="J73" s="5" t="s">
        <v>3387</v>
      </c>
      <c r="K73" s="5" t="s">
        <v>3393</v>
      </c>
      <c r="L73" s="5" t="s">
        <v>22</v>
      </c>
      <c r="M73" s="5" t="s">
        <v>3419</v>
      </c>
      <c r="N73" s="5" t="s">
        <v>345</v>
      </c>
      <c r="O73" s="5" t="s">
        <v>25</v>
      </c>
      <c r="P73" s="5" t="s">
        <v>26</v>
      </c>
      <c r="Q73" s="5" t="s">
        <v>27</v>
      </c>
      <c r="R73" s="5">
        <v>2186</v>
      </c>
      <c r="S73" s="5">
        <v>42.274044699919799</v>
      </c>
      <c r="T73" s="5">
        <v>-70.988448790000007</v>
      </c>
    </row>
    <row r="74" spans="1:20" x14ac:dyDescent="0.3">
      <c r="A74" s="5" t="s">
        <v>346</v>
      </c>
      <c r="B74" s="6">
        <v>13058</v>
      </c>
      <c r="C74" s="6" t="str">
        <f t="shared" si="23"/>
        <v>Active/Unavailable</v>
      </c>
      <c r="D74" s="5" t="s">
        <v>29</v>
      </c>
      <c r="E74" s="5" t="s">
        <v>347</v>
      </c>
      <c r="F74" s="5" t="s">
        <v>348</v>
      </c>
      <c r="G74" s="5" t="str">
        <f t="shared" si="21"/>
        <v>Not Available</v>
      </c>
      <c r="H74" s="5" t="str">
        <f t="shared" si="22"/>
        <v>Not Available</v>
      </c>
      <c r="I74" s="5" t="s">
        <v>22</v>
      </c>
      <c r="J74" s="5" t="s">
        <v>3387</v>
      </c>
      <c r="K74" s="5" t="s">
        <v>3394</v>
      </c>
      <c r="L74" s="5" t="s">
        <v>22</v>
      </c>
      <c r="M74" s="5" t="s">
        <v>3449</v>
      </c>
      <c r="N74" s="5" t="s">
        <v>349</v>
      </c>
      <c r="O74" s="5" t="s">
        <v>33</v>
      </c>
      <c r="P74" s="5" t="s">
        <v>26</v>
      </c>
      <c r="Q74" s="5" t="s">
        <v>34</v>
      </c>
      <c r="R74" s="5">
        <v>2109</v>
      </c>
      <c r="S74" s="5">
        <v>42.343894560000003</v>
      </c>
      <c r="T74" s="5">
        <v>-71.058546460000002</v>
      </c>
    </row>
    <row r="75" spans="1:20" x14ac:dyDescent="0.3">
      <c r="A75" s="5" t="s">
        <v>350</v>
      </c>
      <c r="B75" s="6">
        <v>11409</v>
      </c>
      <c r="C75" s="6" t="str">
        <f t="shared" si="23"/>
        <v>Active/Unavailable</v>
      </c>
      <c r="D75" s="5" t="s">
        <v>18</v>
      </c>
      <c r="E75" s="5" t="s">
        <v>351</v>
      </c>
      <c r="F75" s="5" t="s">
        <v>352</v>
      </c>
      <c r="G75" s="5" t="str">
        <f t="shared" si="21"/>
        <v>Not Available</v>
      </c>
      <c r="H75" s="5" t="s">
        <v>309</v>
      </c>
      <c r="I75" s="5" t="s">
        <v>22</v>
      </c>
      <c r="J75" s="5" t="s">
        <v>3387</v>
      </c>
      <c r="K75" s="5" t="s">
        <v>3393</v>
      </c>
      <c r="L75" s="5" t="s">
        <v>23</v>
      </c>
      <c r="M75" s="5" t="s">
        <v>3452</v>
      </c>
      <c r="N75" s="5" t="s">
        <v>353</v>
      </c>
      <c r="O75" s="5" t="s">
        <v>354</v>
      </c>
      <c r="P75" s="5" t="s">
        <v>26</v>
      </c>
      <c r="Q75" s="5" t="s">
        <v>57</v>
      </c>
      <c r="R75" s="5">
        <v>2459</v>
      </c>
      <c r="S75" s="5">
        <v>42.3291392332493</v>
      </c>
      <c r="T75" s="5">
        <v>-71.11763234</v>
      </c>
    </row>
    <row r="76" spans="1:20" x14ac:dyDescent="0.3">
      <c r="A76" s="5" t="s">
        <v>355</v>
      </c>
      <c r="B76" s="6">
        <v>11617</v>
      </c>
      <c r="C76" s="6">
        <v>43861</v>
      </c>
      <c r="D76" s="5" t="s">
        <v>18</v>
      </c>
      <c r="E76" s="5" t="s">
        <v>356</v>
      </c>
      <c r="F76" s="5" t="s">
        <v>149</v>
      </c>
      <c r="G76" s="5" t="str">
        <f t="shared" si="21"/>
        <v>Not Available</v>
      </c>
      <c r="H76" s="5" t="s">
        <v>357</v>
      </c>
      <c r="I76" s="5" t="s">
        <v>22</v>
      </c>
      <c r="J76" s="5" t="s">
        <v>3387</v>
      </c>
      <c r="K76" s="5" t="s">
        <v>3394</v>
      </c>
      <c r="L76" s="5" t="s">
        <v>23</v>
      </c>
      <c r="M76" s="5" t="s">
        <v>3400</v>
      </c>
      <c r="N76" s="5" t="s">
        <v>358</v>
      </c>
      <c r="O76" s="5" t="s">
        <v>33</v>
      </c>
      <c r="P76" s="5" t="s">
        <v>26</v>
      </c>
      <c r="Q76" s="5" t="s">
        <v>34</v>
      </c>
      <c r="R76" s="5">
        <v>2124</v>
      </c>
      <c r="S76" s="5">
        <v>42.361012376745798</v>
      </c>
      <c r="T76" s="5">
        <v>-71.064308760000003</v>
      </c>
    </row>
    <row r="77" spans="1:20" x14ac:dyDescent="0.3">
      <c r="A77" s="5" t="s">
        <v>359</v>
      </c>
      <c r="B77" s="6">
        <v>23636</v>
      </c>
      <c r="C77" s="6" t="str">
        <f>"Active/Unavailable"</f>
        <v>Active/Unavailable</v>
      </c>
      <c r="D77" s="5" t="s">
        <v>18</v>
      </c>
      <c r="E77" s="5" t="s">
        <v>360</v>
      </c>
      <c r="F77" s="5" t="s">
        <v>361</v>
      </c>
      <c r="G77" s="5" t="str">
        <f t="shared" si="21"/>
        <v>Not Available</v>
      </c>
      <c r="H77" s="5" t="s">
        <v>362</v>
      </c>
      <c r="I77" s="5" t="s">
        <v>22</v>
      </c>
      <c r="J77" s="5" t="s">
        <v>3387</v>
      </c>
      <c r="K77" s="5" t="s">
        <v>3393</v>
      </c>
      <c r="L77" s="5" t="s">
        <v>23</v>
      </c>
      <c r="M77" s="5" t="s">
        <v>3398</v>
      </c>
      <c r="N77" s="5" t="s">
        <v>363</v>
      </c>
      <c r="O77" s="5" t="s">
        <v>209</v>
      </c>
      <c r="P77" s="5" t="s">
        <v>26</v>
      </c>
      <c r="Q77" s="5" t="s">
        <v>27</v>
      </c>
      <c r="R77" s="5" t="str">
        <f>"0000"</f>
        <v>0000</v>
      </c>
      <c r="S77" s="5">
        <v>42.215911854257897</v>
      </c>
      <c r="T77" s="5">
        <v>-70.908893890000002</v>
      </c>
    </row>
    <row r="78" spans="1:20" x14ac:dyDescent="0.3">
      <c r="A78" s="5" t="s">
        <v>364</v>
      </c>
      <c r="B78" s="6">
        <v>9284</v>
      </c>
      <c r="C78" s="6">
        <v>42837</v>
      </c>
      <c r="D78" s="5" t="s">
        <v>18</v>
      </c>
      <c r="E78" s="5" t="s">
        <v>365</v>
      </c>
      <c r="F78" s="5" t="s">
        <v>366</v>
      </c>
      <c r="G78" s="5" t="str">
        <f t="shared" si="21"/>
        <v>Not Available</v>
      </c>
      <c r="H78" s="5" t="s">
        <v>367</v>
      </c>
      <c r="I78" s="5" t="s">
        <v>22</v>
      </c>
      <c r="J78" s="5" t="s">
        <v>3387</v>
      </c>
      <c r="K78" s="5" t="s">
        <v>3394</v>
      </c>
      <c r="L78" s="5" t="s">
        <v>23</v>
      </c>
      <c r="M78" s="5" t="s">
        <v>3453</v>
      </c>
      <c r="N78" s="5" t="s">
        <v>368</v>
      </c>
      <c r="O78" s="5" t="s">
        <v>209</v>
      </c>
      <c r="P78" s="5" t="s">
        <v>26</v>
      </c>
      <c r="Q78" s="5" t="s">
        <v>27</v>
      </c>
      <c r="R78" s="5">
        <v>2189</v>
      </c>
      <c r="S78" s="5">
        <v>42.221384234286703</v>
      </c>
      <c r="T78" s="5">
        <v>-70.911963600000007</v>
      </c>
    </row>
    <row r="79" spans="1:20" x14ac:dyDescent="0.3">
      <c r="A79" s="5" t="s">
        <v>369</v>
      </c>
      <c r="B79" s="6">
        <v>12887</v>
      </c>
      <c r="C79" s="6" t="str">
        <f t="shared" ref="C79:C85" si="24">"Active/Unavailable"</f>
        <v>Active/Unavailable</v>
      </c>
      <c r="D79" s="5" t="s">
        <v>18</v>
      </c>
      <c r="E79" s="5" t="s">
        <v>370</v>
      </c>
      <c r="F79" s="5" t="s">
        <v>371</v>
      </c>
      <c r="G79" s="5" t="str">
        <f t="shared" si="21"/>
        <v>Not Available</v>
      </c>
      <c r="H79" s="5" t="s">
        <v>336</v>
      </c>
      <c r="I79" s="5" t="s">
        <v>22</v>
      </c>
      <c r="J79" s="5" t="s">
        <v>3387</v>
      </c>
      <c r="K79" s="5" t="s">
        <v>3393</v>
      </c>
      <c r="L79" s="5" t="s">
        <v>23</v>
      </c>
      <c r="M79" s="5" t="s">
        <v>3454</v>
      </c>
      <c r="N79" s="5" t="s">
        <v>372</v>
      </c>
      <c r="O79" s="5" t="s">
        <v>373</v>
      </c>
      <c r="P79" s="5" t="s">
        <v>26</v>
      </c>
      <c r="Q79" s="5" t="s">
        <v>57</v>
      </c>
      <c r="R79" s="5">
        <v>2155</v>
      </c>
      <c r="S79" s="5">
        <v>42.3946373389645</v>
      </c>
      <c r="T79" s="5">
        <v>-71.099022140000002</v>
      </c>
    </row>
    <row r="80" spans="1:20" x14ac:dyDescent="0.3">
      <c r="A80" s="5" t="s">
        <v>374</v>
      </c>
      <c r="B80" s="6">
        <v>9284</v>
      </c>
      <c r="C80" s="6" t="str">
        <f t="shared" si="24"/>
        <v>Active/Unavailable</v>
      </c>
      <c r="D80" s="5" t="s">
        <v>100</v>
      </c>
      <c r="E80" s="5" t="s">
        <v>375</v>
      </c>
      <c r="F80" s="5" t="s">
        <v>238</v>
      </c>
      <c r="G80" s="5" t="str">
        <f t="shared" si="21"/>
        <v>Not Available</v>
      </c>
      <c r="H80" s="5" t="str">
        <f t="shared" ref="H80:H87" si="25">"Not Available"</f>
        <v>Not Available</v>
      </c>
      <c r="I80" s="5" t="s">
        <v>65</v>
      </c>
      <c r="J80" s="5" t="s">
        <v>3387</v>
      </c>
      <c r="K80" s="5" t="s">
        <v>3394</v>
      </c>
      <c r="L80" s="5" t="s">
        <v>23</v>
      </c>
      <c r="M80" s="5" t="s">
        <v>3405</v>
      </c>
      <c r="N80" s="5" t="s">
        <v>376</v>
      </c>
      <c r="O80" s="5" t="s">
        <v>209</v>
      </c>
      <c r="P80" s="5" t="s">
        <v>26</v>
      </c>
      <c r="Q80" s="5" t="s">
        <v>27</v>
      </c>
      <c r="R80" s="5">
        <v>2188</v>
      </c>
      <c r="S80" s="5">
        <v>42.246634844025699</v>
      </c>
      <c r="T80" s="5">
        <v>-70.902596799999998</v>
      </c>
    </row>
    <row r="81" spans="1:20" x14ac:dyDescent="0.3">
      <c r="A81" s="5" t="s">
        <v>377</v>
      </c>
      <c r="B81" s="6">
        <v>19686</v>
      </c>
      <c r="C81" s="6" t="str">
        <f t="shared" si="24"/>
        <v>Active/Unavailable</v>
      </c>
      <c r="D81" s="5" t="s">
        <v>29</v>
      </c>
      <c r="E81" s="5" t="s">
        <v>378</v>
      </c>
      <c r="F81" s="5" t="s">
        <v>379</v>
      </c>
      <c r="G81" s="5" t="str">
        <f t="shared" si="21"/>
        <v>Not Available</v>
      </c>
      <c r="H81" s="5" t="str">
        <f t="shared" si="25"/>
        <v>Not Available</v>
      </c>
      <c r="I81" s="5" t="s">
        <v>65</v>
      </c>
      <c r="J81" s="5" t="s">
        <v>3388</v>
      </c>
      <c r="K81" s="5" t="s">
        <v>3393</v>
      </c>
      <c r="L81" s="5" t="s">
        <v>22</v>
      </c>
      <c r="M81" s="5" t="s">
        <v>3455</v>
      </c>
      <c r="N81" s="5" t="s">
        <v>380</v>
      </c>
      <c r="O81" s="5" t="s">
        <v>33</v>
      </c>
      <c r="P81" s="5" t="s">
        <v>26</v>
      </c>
      <c r="Q81" s="5" t="s">
        <v>34</v>
      </c>
      <c r="R81" s="5">
        <v>2163</v>
      </c>
      <c r="S81" s="5">
        <v>42.393650533829799</v>
      </c>
      <c r="T81" s="5">
        <v>-71.039857359999999</v>
      </c>
    </row>
    <row r="82" spans="1:20" x14ac:dyDescent="0.3">
      <c r="A82" s="5" t="s">
        <v>381</v>
      </c>
      <c r="B82" s="6">
        <v>23052</v>
      </c>
      <c r="C82" s="6" t="str">
        <f t="shared" si="24"/>
        <v>Active/Unavailable</v>
      </c>
      <c r="D82" s="5" t="s">
        <v>29</v>
      </c>
      <c r="E82" s="5" t="s">
        <v>382</v>
      </c>
      <c r="F82" s="5" t="s">
        <v>383</v>
      </c>
      <c r="G82" s="5" t="str">
        <f t="shared" si="21"/>
        <v>Not Available</v>
      </c>
      <c r="H82" s="5" t="str">
        <f t="shared" si="25"/>
        <v>Not Available</v>
      </c>
      <c r="I82" s="5" t="s">
        <v>65</v>
      </c>
      <c r="J82" s="5" t="s">
        <v>3387</v>
      </c>
      <c r="K82" s="5" t="s">
        <v>3393</v>
      </c>
      <c r="L82" s="5" t="s">
        <v>22</v>
      </c>
      <c r="M82" s="5" t="s">
        <v>3444</v>
      </c>
      <c r="N82" s="5" t="s">
        <v>384</v>
      </c>
      <c r="O82" s="5" t="s">
        <v>33</v>
      </c>
      <c r="P82" s="5" t="s">
        <v>26</v>
      </c>
      <c r="Q82" s="5" t="s">
        <v>34</v>
      </c>
      <c r="R82" s="5">
        <v>2467</v>
      </c>
      <c r="S82" s="5">
        <v>42.296080042576797</v>
      </c>
      <c r="T82" s="5">
        <v>-71.043755610000005</v>
      </c>
    </row>
    <row r="83" spans="1:20" x14ac:dyDescent="0.3">
      <c r="A83" s="5" t="s">
        <v>385</v>
      </c>
      <c r="B83" s="6">
        <v>21265</v>
      </c>
      <c r="C83" s="6" t="str">
        <f t="shared" si="24"/>
        <v>Active/Unavailable</v>
      </c>
      <c r="D83" s="5" t="s">
        <v>29</v>
      </c>
      <c r="E83" s="5" t="s">
        <v>271</v>
      </c>
      <c r="F83" s="5" t="s">
        <v>49</v>
      </c>
      <c r="G83" s="5" t="str">
        <f t="shared" si="21"/>
        <v>Not Available</v>
      </c>
      <c r="H83" s="5" t="str">
        <f t="shared" si="25"/>
        <v>Not Available</v>
      </c>
      <c r="I83" s="5" t="s">
        <v>65</v>
      </c>
      <c r="J83" s="5" t="s">
        <v>3387</v>
      </c>
      <c r="K83" s="5" t="s">
        <v>3393</v>
      </c>
      <c r="L83" s="5" t="s">
        <v>22</v>
      </c>
      <c r="M83" s="5" t="s">
        <v>3456</v>
      </c>
      <c r="N83" s="5" t="s">
        <v>386</v>
      </c>
      <c r="O83" s="5" t="s">
        <v>33</v>
      </c>
      <c r="P83" s="5" t="s">
        <v>26</v>
      </c>
      <c r="Q83" s="5" t="s">
        <v>34</v>
      </c>
      <c r="R83" s="5">
        <v>2130</v>
      </c>
      <c r="S83" s="5">
        <v>42.298115692889098</v>
      </c>
      <c r="T83" s="5">
        <v>-71.039379170000004</v>
      </c>
    </row>
    <row r="84" spans="1:20" x14ac:dyDescent="0.3">
      <c r="A84" s="5" t="s">
        <v>387</v>
      </c>
      <c r="B84" s="6">
        <v>31128</v>
      </c>
      <c r="C84" s="6" t="str">
        <f t="shared" si="24"/>
        <v>Active/Unavailable</v>
      </c>
      <c r="D84" s="5" t="s">
        <v>29</v>
      </c>
      <c r="E84" s="5" t="s">
        <v>388</v>
      </c>
      <c r="F84" s="5" t="s">
        <v>389</v>
      </c>
      <c r="G84" s="5" t="str">
        <f t="shared" si="21"/>
        <v>Not Available</v>
      </c>
      <c r="H84" s="5" t="str">
        <f t="shared" si="25"/>
        <v>Not Available</v>
      </c>
      <c r="I84" s="5" t="s">
        <v>22</v>
      </c>
      <c r="J84" s="5" t="s">
        <v>3387</v>
      </c>
      <c r="K84" s="5" t="s">
        <v>3393</v>
      </c>
      <c r="L84" s="5" t="s">
        <v>22</v>
      </c>
      <c r="M84" s="5" t="s">
        <v>3434</v>
      </c>
      <c r="N84" s="5" t="s">
        <v>390</v>
      </c>
      <c r="O84" s="5" t="s">
        <v>33</v>
      </c>
      <c r="P84" s="5" t="s">
        <v>26</v>
      </c>
      <c r="Q84" s="5" t="s">
        <v>34</v>
      </c>
      <c r="R84" s="5">
        <v>2114</v>
      </c>
      <c r="S84" s="5">
        <v>42.310186885648797</v>
      </c>
      <c r="T84" s="5">
        <v>-71.075679789999995</v>
      </c>
    </row>
    <row r="85" spans="1:20" x14ac:dyDescent="0.3">
      <c r="A85" s="5" t="s">
        <v>391</v>
      </c>
      <c r="B85" s="6">
        <v>11561</v>
      </c>
      <c r="C85" s="6" t="str">
        <f t="shared" si="24"/>
        <v>Active/Unavailable</v>
      </c>
      <c r="D85" s="5" t="s">
        <v>29</v>
      </c>
      <c r="E85" s="5" t="s">
        <v>392</v>
      </c>
      <c r="F85" s="5" t="s">
        <v>393</v>
      </c>
      <c r="G85" s="5" t="str">
        <f t="shared" si="21"/>
        <v>Not Available</v>
      </c>
      <c r="H85" s="5" t="str">
        <f t="shared" si="25"/>
        <v>Not Available</v>
      </c>
      <c r="I85" s="5" t="s">
        <v>22</v>
      </c>
      <c r="J85" s="5" t="s">
        <v>3389</v>
      </c>
      <c r="K85" s="5" t="s">
        <v>3394</v>
      </c>
      <c r="L85" s="5" t="s">
        <v>22</v>
      </c>
      <c r="M85" s="5" t="s">
        <v>3450</v>
      </c>
      <c r="N85" s="5" t="s">
        <v>394</v>
      </c>
      <c r="O85" s="5" t="s">
        <v>33</v>
      </c>
      <c r="P85" s="5" t="s">
        <v>26</v>
      </c>
      <c r="Q85" s="5" t="s">
        <v>34</v>
      </c>
      <c r="R85" s="5">
        <v>2120</v>
      </c>
      <c r="S85" s="5">
        <v>42.333258720000003</v>
      </c>
      <c r="T85" s="5">
        <v>-71.061501219999997</v>
      </c>
    </row>
    <row r="86" spans="1:20" x14ac:dyDescent="0.3">
      <c r="A86" s="5" t="s">
        <v>395</v>
      </c>
      <c r="B86" s="6">
        <v>19237</v>
      </c>
      <c r="C86" s="6">
        <v>44331</v>
      </c>
      <c r="D86" s="5" t="s">
        <v>29</v>
      </c>
      <c r="E86" s="5" t="s">
        <v>396</v>
      </c>
      <c r="F86" s="5" t="s">
        <v>397</v>
      </c>
      <c r="G86" s="5" t="s">
        <v>398</v>
      </c>
      <c r="H86" s="5" t="str">
        <f t="shared" si="25"/>
        <v>Not Available</v>
      </c>
      <c r="I86" s="5" t="s">
        <v>22</v>
      </c>
      <c r="J86" s="5" t="s">
        <v>3387</v>
      </c>
      <c r="K86" s="5" t="s">
        <v>3393</v>
      </c>
      <c r="L86" s="5" t="s">
        <v>22</v>
      </c>
      <c r="M86" s="5" t="s">
        <v>3457</v>
      </c>
      <c r="N86" s="5" t="s">
        <v>399</v>
      </c>
      <c r="O86" s="5" t="s">
        <v>373</v>
      </c>
      <c r="P86" s="5" t="s">
        <v>26</v>
      </c>
      <c r="Q86" s="5" t="s">
        <v>57</v>
      </c>
      <c r="R86" s="5">
        <v>2155</v>
      </c>
      <c r="S86" s="5">
        <v>42.439466297644003</v>
      </c>
      <c r="T86" s="5">
        <v>-71.127222990000007</v>
      </c>
    </row>
    <row r="87" spans="1:20" x14ac:dyDescent="0.3">
      <c r="A87" s="5" t="s">
        <v>400</v>
      </c>
      <c r="B87" s="6">
        <v>15146</v>
      </c>
      <c r="C87" s="6" t="str">
        <f t="shared" ref="C87:C90" si="26">"Active/Unavailable"</f>
        <v>Active/Unavailable</v>
      </c>
      <c r="D87" s="5" t="s">
        <v>100</v>
      </c>
      <c r="E87" s="5" t="s">
        <v>401</v>
      </c>
      <c r="F87" s="5" t="s">
        <v>402</v>
      </c>
      <c r="G87" s="5" t="str">
        <f t="shared" ref="G87:G150" si="27">"Not Available"</f>
        <v>Not Available</v>
      </c>
      <c r="H87" s="5" t="str">
        <f t="shared" si="25"/>
        <v>Not Available</v>
      </c>
      <c r="I87" s="5" t="s">
        <v>65</v>
      </c>
      <c r="J87" s="5" t="s">
        <v>3387</v>
      </c>
      <c r="K87" s="5" t="s">
        <v>3393</v>
      </c>
      <c r="L87" s="5" t="s">
        <v>23</v>
      </c>
      <c r="M87" s="5" t="s">
        <v>3400</v>
      </c>
      <c r="N87" s="5" t="s">
        <v>403</v>
      </c>
      <c r="O87" s="5" t="s">
        <v>172</v>
      </c>
      <c r="P87" s="5" t="s">
        <v>26</v>
      </c>
      <c r="Q87" s="5" t="s">
        <v>34</v>
      </c>
      <c r="R87" s="5" t="str">
        <f>"0000"</f>
        <v>0000</v>
      </c>
      <c r="S87" s="5">
        <v>42.376514852695202</v>
      </c>
      <c r="T87" s="5">
        <v>-71.004747750000007</v>
      </c>
    </row>
    <row r="88" spans="1:20" x14ac:dyDescent="0.3">
      <c r="A88" s="5" t="s">
        <v>404</v>
      </c>
      <c r="B88" s="6">
        <v>17397</v>
      </c>
      <c r="C88" s="6" t="str">
        <f t="shared" si="26"/>
        <v>Active/Unavailable</v>
      </c>
      <c r="D88" s="5" t="s">
        <v>18</v>
      </c>
      <c r="E88" s="5" t="s">
        <v>405</v>
      </c>
      <c r="F88" s="5" t="s">
        <v>371</v>
      </c>
      <c r="G88" s="5" t="str">
        <f t="shared" si="27"/>
        <v>Not Available</v>
      </c>
      <c r="H88" s="5" t="s">
        <v>406</v>
      </c>
      <c r="I88" s="5" t="s">
        <v>22</v>
      </c>
      <c r="J88" s="5" t="s">
        <v>3387</v>
      </c>
      <c r="K88" s="5" t="s">
        <v>3393</v>
      </c>
      <c r="L88" s="5" t="s">
        <v>23</v>
      </c>
      <c r="M88" s="5" t="s">
        <v>3458</v>
      </c>
      <c r="N88" s="5" t="s">
        <v>407</v>
      </c>
      <c r="O88" s="5" t="s">
        <v>209</v>
      </c>
      <c r="P88" s="5" t="s">
        <v>26</v>
      </c>
      <c r="Q88" s="5" t="s">
        <v>27</v>
      </c>
      <c r="R88" s="5">
        <v>2190</v>
      </c>
      <c r="S88" s="5">
        <v>42.279943155626903</v>
      </c>
      <c r="T88" s="5">
        <v>-70.966650259999994</v>
      </c>
    </row>
    <row r="89" spans="1:20" x14ac:dyDescent="0.3">
      <c r="A89" s="5" t="s">
        <v>408</v>
      </c>
      <c r="B89" s="6">
        <v>28220</v>
      </c>
      <c r="C89" s="6" t="str">
        <f t="shared" si="26"/>
        <v>Active/Unavailable</v>
      </c>
      <c r="D89" s="5" t="s">
        <v>100</v>
      </c>
      <c r="E89" s="5" t="s">
        <v>409</v>
      </c>
      <c r="F89" s="5" t="s">
        <v>410</v>
      </c>
      <c r="G89" s="5" t="str">
        <f t="shared" si="27"/>
        <v>Not Available</v>
      </c>
      <c r="H89" s="5" t="str">
        <f t="shared" ref="H89:H94" si="28">"Not Available"</f>
        <v>Not Available</v>
      </c>
      <c r="I89" s="5" t="s">
        <v>65</v>
      </c>
      <c r="J89" s="5" t="s">
        <v>3387</v>
      </c>
      <c r="K89" s="5" t="s">
        <v>3393</v>
      </c>
      <c r="L89" s="5" t="s">
        <v>23</v>
      </c>
      <c r="M89" s="5" t="s">
        <v>3459</v>
      </c>
      <c r="N89" s="5" t="s">
        <v>411</v>
      </c>
      <c r="O89" s="5" t="s">
        <v>25</v>
      </c>
      <c r="P89" s="5" t="s">
        <v>26</v>
      </c>
      <c r="Q89" s="5" t="s">
        <v>27</v>
      </c>
      <c r="R89" s="5">
        <v>2186</v>
      </c>
      <c r="S89" s="5">
        <v>42.296089827884998</v>
      </c>
      <c r="T89" s="5">
        <v>-71.007761400000007</v>
      </c>
    </row>
    <row r="90" spans="1:20" x14ac:dyDescent="0.3">
      <c r="A90" s="5" t="s">
        <v>412</v>
      </c>
      <c r="B90" s="6">
        <v>18429</v>
      </c>
      <c r="C90" s="6" t="str">
        <f t="shared" si="26"/>
        <v>Active/Unavailable</v>
      </c>
      <c r="D90" s="5" t="s">
        <v>29</v>
      </c>
      <c r="E90" s="5" t="s">
        <v>413</v>
      </c>
      <c r="F90" s="5" t="s">
        <v>414</v>
      </c>
      <c r="G90" s="5" t="str">
        <f t="shared" si="27"/>
        <v>Not Available</v>
      </c>
      <c r="H90" s="5" t="str">
        <f t="shared" si="28"/>
        <v>Not Available</v>
      </c>
      <c r="I90" s="5" t="s">
        <v>22</v>
      </c>
      <c r="J90" s="5" t="s">
        <v>3389</v>
      </c>
      <c r="K90" s="5" t="s">
        <v>3394</v>
      </c>
      <c r="L90" s="5" t="s">
        <v>22</v>
      </c>
      <c r="M90" s="5" t="s">
        <v>3400</v>
      </c>
      <c r="N90" s="5" t="s">
        <v>415</v>
      </c>
      <c r="O90" s="5" t="s">
        <v>172</v>
      </c>
      <c r="P90" s="5" t="s">
        <v>26</v>
      </c>
      <c r="Q90" s="5" t="s">
        <v>34</v>
      </c>
      <c r="R90" s="5">
        <v>2149</v>
      </c>
      <c r="S90" s="5">
        <v>42.367154739559901</v>
      </c>
      <c r="T90" s="5">
        <v>-71.050528619999994</v>
      </c>
    </row>
    <row r="91" spans="1:20" x14ac:dyDescent="0.3">
      <c r="A91" s="5" t="s">
        <v>416</v>
      </c>
      <c r="B91" s="6">
        <v>11073</v>
      </c>
      <c r="C91" s="6">
        <v>42469</v>
      </c>
      <c r="D91" s="5" t="s">
        <v>29</v>
      </c>
      <c r="E91" s="5" t="s">
        <v>417</v>
      </c>
      <c r="F91" s="5" t="s">
        <v>418</v>
      </c>
      <c r="G91" s="5" t="str">
        <f t="shared" si="27"/>
        <v>Not Available</v>
      </c>
      <c r="H91" s="5" t="str">
        <f t="shared" si="28"/>
        <v>Not Available</v>
      </c>
      <c r="I91" s="5" t="s">
        <v>65</v>
      </c>
      <c r="J91" s="5" t="s">
        <v>3387</v>
      </c>
      <c r="K91" s="5" t="s">
        <v>3394</v>
      </c>
      <c r="L91" s="5" t="s">
        <v>22</v>
      </c>
      <c r="M91" s="5" t="s">
        <v>3460</v>
      </c>
      <c r="N91" s="5" t="s">
        <v>419</v>
      </c>
      <c r="O91" s="5" t="s">
        <v>33</v>
      </c>
      <c r="P91" s="5" t="s">
        <v>26</v>
      </c>
      <c r="Q91" s="5" t="s">
        <v>34</v>
      </c>
      <c r="R91" s="5">
        <v>2116</v>
      </c>
      <c r="S91" s="5">
        <v>42.320876545849899</v>
      </c>
      <c r="T91" s="5">
        <v>-71.119374120000003</v>
      </c>
    </row>
    <row r="92" spans="1:20" x14ac:dyDescent="0.3">
      <c r="A92" s="5" t="s">
        <v>420</v>
      </c>
      <c r="B92" s="6">
        <v>26119</v>
      </c>
      <c r="C92" s="6" t="str">
        <f>"Active/Unavailable"</f>
        <v>Active/Unavailable</v>
      </c>
      <c r="D92" s="5" t="s">
        <v>100</v>
      </c>
      <c r="E92" s="5" t="s">
        <v>421</v>
      </c>
      <c r="F92" s="5" t="s">
        <v>422</v>
      </c>
      <c r="G92" s="5" t="str">
        <f t="shared" si="27"/>
        <v>Not Available</v>
      </c>
      <c r="H92" s="5" t="str">
        <f t="shared" si="28"/>
        <v>Not Available</v>
      </c>
      <c r="I92" s="5" t="s">
        <v>65</v>
      </c>
      <c r="J92" s="5" t="s">
        <v>3389</v>
      </c>
      <c r="K92" s="5" t="s">
        <v>3394</v>
      </c>
      <c r="L92" s="5" t="s">
        <v>23</v>
      </c>
      <c r="M92" s="5" t="s">
        <v>3461</v>
      </c>
      <c r="N92" s="5" t="s">
        <v>423</v>
      </c>
      <c r="O92" s="5" t="s">
        <v>33</v>
      </c>
      <c r="P92" s="5" t="s">
        <v>26</v>
      </c>
      <c r="Q92" s="5" t="s">
        <v>34</v>
      </c>
      <c r="R92" s="5">
        <v>2124</v>
      </c>
      <c r="S92" s="5">
        <v>42.313334421959702</v>
      </c>
      <c r="T92" s="5">
        <v>-71.056742110000002</v>
      </c>
    </row>
    <row r="93" spans="1:20" x14ac:dyDescent="0.3">
      <c r="A93" s="5" t="s">
        <v>424</v>
      </c>
      <c r="B93" s="6">
        <v>11073</v>
      </c>
      <c r="C93" s="6">
        <v>44320</v>
      </c>
      <c r="D93" s="5" t="s">
        <v>29</v>
      </c>
      <c r="E93" s="5" t="s">
        <v>3352</v>
      </c>
      <c r="F93" s="5" t="s">
        <v>425</v>
      </c>
      <c r="G93" s="5" t="str">
        <f t="shared" si="27"/>
        <v>Not Available</v>
      </c>
      <c r="H93" s="5" t="str">
        <f t="shared" si="28"/>
        <v>Not Available</v>
      </c>
      <c r="I93" s="5" t="s">
        <v>22</v>
      </c>
      <c r="J93" s="5" t="s">
        <v>3387</v>
      </c>
      <c r="K93" s="5" t="s">
        <v>3394</v>
      </c>
      <c r="L93" s="5" t="s">
        <v>22</v>
      </c>
      <c r="M93" s="5" t="s">
        <v>3462</v>
      </c>
      <c r="N93" s="5" t="s">
        <v>426</v>
      </c>
      <c r="O93" s="5" t="s">
        <v>33</v>
      </c>
      <c r="P93" s="5" t="s">
        <v>26</v>
      </c>
      <c r="Q93" s="5" t="s">
        <v>34</v>
      </c>
      <c r="R93" s="5">
        <v>2111</v>
      </c>
      <c r="S93" s="5">
        <v>42.292373886742801</v>
      </c>
      <c r="T93" s="5">
        <v>-71.033670979999997</v>
      </c>
    </row>
    <row r="94" spans="1:20" x14ac:dyDescent="0.3">
      <c r="A94" s="5" t="s">
        <v>427</v>
      </c>
      <c r="B94" s="6">
        <v>25674</v>
      </c>
      <c r="C94" s="6" t="str">
        <f t="shared" ref="C94:C102" si="29">"Active/Unavailable"</f>
        <v>Active/Unavailable</v>
      </c>
      <c r="D94" s="5" t="s">
        <v>100</v>
      </c>
      <c r="E94" s="5" t="s">
        <v>428</v>
      </c>
      <c r="F94" s="5" t="s">
        <v>54</v>
      </c>
      <c r="G94" s="5" t="str">
        <f t="shared" si="27"/>
        <v>Not Available</v>
      </c>
      <c r="H94" s="5" t="str">
        <f t="shared" si="28"/>
        <v>Not Available</v>
      </c>
      <c r="I94" s="5" t="s">
        <v>65</v>
      </c>
      <c r="J94" s="5" t="s">
        <v>3387</v>
      </c>
      <c r="K94" s="5" t="s">
        <v>3393</v>
      </c>
      <c r="L94" s="5" t="s">
        <v>23</v>
      </c>
      <c r="M94" s="5" t="s">
        <v>3435</v>
      </c>
      <c r="N94" s="5" t="s">
        <v>429</v>
      </c>
      <c r="O94" s="5" t="s">
        <v>33</v>
      </c>
      <c r="P94" s="5" t="s">
        <v>26</v>
      </c>
      <c r="Q94" s="5" t="s">
        <v>34</v>
      </c>
      <c r="R94" s="5">
        <v>2124</v>
      </c>
      <c r="S94" s="5">
        <v>42.3034997186219</v>
      </c>
      <c r="T94" s="5">
        <v>-70.999618369999993</v>
      </c>
    </row>
    <row r="95" spans="1:20" x14ac:dyDescent="0.3">
      <c r="A95" s="5" t="s">
        <v>430</v>
      </c>
      <c r="B95" s="6">
        <v>8870</v>
      </c>
      <c r="C95" s="6" t="str">
        <f t="shared" si="29"/>
        <v>Active/Unavailable</v>
      </c>
      <c r="D95" s="5" t="s">
        <v>18</v>
      </c>
      <c r="E95" s="5" t="s">
        <v>431</v>
      </c>
      <c r="F95" s="5" t="s">
        <v>432</v>
      </c>
      <c r="G95" s="5" t="str">
        <f t="shared" si="27"/>
        <v>Not Available</v>
      </c>
      <c r="H95" s="5" t="s">
        <v>433</v>
      </c>
      <c r="I95" s="5" t="s">
        <v>22</v>
      </c>
      <c r="J95" s="5" t="s">
        <v>3387</v>
      </c>
      <c r="K95" s="5" t="s">
        <v>3393</v>
      </c>
      <c r="L95" s="5" t="s">
        <v>23</v>
      </c>
      <c r="M95" s="5" t="s">
        <v>3442</v>
      </c>
      <c r="N95" s="5" t="s">
        <v>434</v>
      </c>
      <c r="O95" s="5" t="s">
        <v>33</v>
      </c>
      <c r="P95" s="5" t="s">
        <v>26</v>
      </c>
      <c r="Q95" s="5" t="s">
        <v>34</v>
      </c>
      <c r="R95" s="5">
        <v>2199</v>
      </c>
      <c r="S95" s="5">
        <v>42.364682710922402</v>
      </c>
      <c r="T95" s="5">
        <v>-71.048270590000001</v>
      </c>
    </row>
    <row r="96" spans="1:20" x14ac:dyDescent="0.3">
      <c r="A96" s="5" t="s">
        <v>435</v>
      </c>
      <c r="B96" s="6">
        <v>19657</v>
      </c>
      <c r="C96" s="6" t="str">
        <f t="shared" si="29"/>
        <v>Active/Unavailable</v>
      </c>
      <c r="D96" s="5" t="s">
        <v>18</v>
      </c>
      <c r="E96" s="5" t="s">
        <v>436</v>
      </c>
      <c r="F96" s="5" t="s">
        <v>437</v>
      </c>
      <c r="G96" s="5" t="str">
        <f t="shared" si="27"/>
        <v>Not Available</v>
      </c>
      <c r="H96" s="5" t="s">
        <v>438</v>
      </c>
      <c r="I96" s="5" t="s">
        <v>22</v>
      </c>
      <c r="J96" s="5" t="s">
        <v>3387</v>
      </c>
      <c r="K96" s="5" t="s">
        <v>3393</v>
      </c>
      <c r="L96" s="5" t="s">
        <v>23</v>
      </c>
      <c r="M96" s="5" t="s">
        <v>3435</v>
      </c>
      <c r="N96" s="5" t="s">
        <v>439</v>
      </c>
      <c r="O96" s="5" t="s">
        <v>33</v>
      </c>
      <c r="P96" s="5" t="s">
        <v>26</v>
      </c>
      <c r="Q96" s="5" t="s">
        <v>34</v>
      </c>
      <c r="R96" s="5">
        <v>2132</v>
      </c>
      <c r="S96" s="5">
        <v>42.375221876652901</v>
      </c>
      <c r="T96" s="5">
        <v>-70.985082449999993</v>
      </c>
    </row>
    <row r="97" spans="1:20" x14ac:dyDescent="0.3">
      <c r="A97" s="5" t="s">
        <v>440</v>
      </c>
      <c r="B97" s="6">
        <v>11754</v>
      </c>
      <c r="C97" s="6" t="str">
        <f t="shared" si="29"/>
        <v>Active/Unavailable</v>
      </c>
      <c r="D97" s="5" t="s">
        <v>29</v>
      </c>
      <c r="E97" s="5" t="s">
        <v>441</v>
      </c>
      <c r="F97" s="5" t="s">
        <v>442</v>
      </c>
      <c r="G97" s="5" t="str">
        <f t="shared" si="27"/>
        <v>Not Available</v>
      </c>
      <c r="H97" s="5" t="str">
        <f t="shared" ref="H97:H100" si="30">"Not Available"</f>
        <v>Not Available</v>
      </c>
      <c r="I97" s="5" t="s">
        <v>22</v>
      </c>
      <c r="J97" s="5" t="s">
        <v>3387</v>
      </c>
      <c r="K97" s="5" t="s">
        <v>3394</v>
      </c>
      <c r="L97" s="5" t="s">
        <v>22</v>
      </c>
      <c r="M97" s="5" t="s">
        <v>3426</v>
      </c>
      <c r="N97" s="5" t="s">
        <v>443</v>
      </c>
      <c r="O97" s="5" t="s">
        <v>33</v>
      </c>
      <c r="P97" s="5" t="s">
        <v>26</v>
      </c>
      <c r="Q97" s="5" t="s">
        <v>34</v>
      </c>
      <c r="R97" s="5">
        <v>2163</v>
      </c>
      <c r="S97" s="5">
        <v>42.347481927135298</v>
      </c>
      <c r="T97" s="5">
        <v>-71.015618799999999</v>
      </c>
    </row>
    <row r="98" spans="1:20" x14ac:dyDescent="0.3">
      <c r="A98" s="5" t="s">
        <v>444</v>
      </c>
      <c r="B98" s="6">
        <v>20001</v>
      </c>
      <c r="C98" s="6" t="str">
        <f t="shared" si="29"/>
        <v>Active/Unavailable</v>
      </c>
      <c r="D98" s="5" t="s">
        <v>100</v>
      </c>
      <c r="E98" s="5" t="s">
        <v>445</v>
      </c>
      <c r="F98" s="5" t="s">
        <v>86</v>
      </c>
      <c r="G98" s="5" t="str">
        <f t="shared" si="27"/>
        <v>Not Available</v>
      </c>
      <c r="H98" s="5" t="str">
        <f t="shared" si="30"/>
        <v>Not Available</v>
      </c>
      <c r="I98" s="5" t="s">
        <v>65</v>
      </c>
      <c r="J98" s="5" t="s">
        <v>3387</v>
      </c>
      <c r="K98" s="5" t="s">
        <v>3393</v>
      </c>
      <c r="L98" s="5" t="s">
        <v>23</v>
      </c>
      <c r="M98" s="5" t="s">
        <v>3463</v>
      </c>
      <c r="N98" s="5" t="s">
        <v>446</v>
      </c>
      <c r="O98" s="5" t="s">
        <v>56</v>
      </c>
      <c r="P98" s="5" t="s">
        <v>26</v>
      </c>
      <c r="Q98" s="5" t="s">
        <v>57</v>
      </c>
      <c r="R98" s="5">
        <v>2141</v>
      </c>
      <c r="S98" s="5">
        <v>42.320264389935801</v>
      </c>
      <c r="T98" s="5">
        <v>-71.057442750000007</v>
      </c>
    </row>
    <row r="99" spans="1:20" x14ac:dyDescent="0.3">
      <c r="A99" s="5" t="s">
        <v>447</v>
      </c>
      <c r="B99" s="6">
        <v>14798</v>
      </c>
      <c r="C99" s="6" t="str">
        <f t="shared" si="29"/>
        <v>Active/Unavailable</v>
      </c>
      <c r="D99" s="5" t="s">
        <v>29</v>
      </c>
      <c r="E99" s="5" t="s">
        <v>115</v>
      </c>
      <c r="F99" s="5" t="s">
        <v>124</v>
      </c>
      <c r="G99" s="5" t="str">
        <f t="shared" si="27"/>
        <v>Not Available</v>
      </c>
      <c r="H99" s="5" t="str">
        <f t="shared" si="30"/>
        <v>Not Available</v>
      </c>
      <c r="I99" s="5" t="s">
        <v>22</v>
      </c>
      <c r="J99" s="5" t="s">
        <v>3391</v>
      </c>
      <c r="K99" s="5" t="s">
        <v>3393</v>
      </c>
      <c r="L99" s="5" t="s">
        <v>22</v>
      </c>
      <c r="M99" s="5" t="s">
        <v>3464</v>
      </c>
      <c r="N99" s="5" t="s">
        <v>448</v>
      </c>
      <c r="O99" s="5" t="s">
        <v>33</v>
      </c>
      <c r="P99" s="5" t="s">
        <v>26</v>
      </c>
      <c r="Q99" s="5" t="s">
        <v>34</v>
      </c>
      <c r="R99" s="5">
        <v>2114</v>
      </c>
      <c r="S99" s="5">
        <v>42.351088018596599</v>
      </c>
      <c r="T99" s="5">
        <v>-71.023828750000007</v>
      </c>
    </row>
    <row r="100" spans="1:20" x14ac:dyDescent="0.3">
      <c r="A100" s="5" t="s">
        <v>449</v>
      </c>
      <c r="B100" s="6">
        <v>27140</v>
      </c>
      <c r="C100" s="6" t="str">
        <f t="shared" si="29"/>
        <v>Active/Unavailable</v>
      </c>
      <c r="D100" s="5" t="s">
        <v>29</v>
      </c>
      <c r="E100" s="5" t="s">
        <v>450</v>
      </c>
      <c r="F100" s="5" t="s">
        <v>451</v>
      </c>
      <c r="G100" s="5" t="str">
        <f t="shared" si="27"/>
        <v>Not Available</v>
      </c>
      <c r="H100" s="5" t="str">
        <f t="shared" si="30"/>
        <v>Not Available</v>
      </c>
      <c r="I100" s="5" t="s">
        <v>22</v>
      </c>
      <c r="J100" s="5" t="s">
        <v>3387</v>
      </c>
      <c r="K100" s="5" t="s">
        <v>3394</v>
      </c>
      <c r="L100" s="5" t="s">
        <v>22</v>
      </c>
      <c r="M100" s="5" t="s">
        <v>3465</v>
      </c>
      <c r="N100" s="5" t="s">
        <v>452</v>
      </c>
      <c r="O100" s="5" t="s">
        <v>33</v>
      </c>
      <c r="P100" s="5" t="s">
        <v>26</v>
      </c>
      <c r="Q100" s="5" t="s">
        <v>34</v>
      </c>
      <c r="R100" s="5">
        <v>2113</v>
      </c>
      <c r="S100" s="5">
        <v>42.319540176476998</v>
      </c>
      <c r="T100" s="5">
        <v>-71.103542210000001</v>
      </c>
    </row>
    <row r="101" spans="1:20" x14ac:dyDescent="0.3">
      <c r="A101" s="5" t="s">
        <v>453</v>
      </c>
      <c r="B101" s="6">
        <v>25119</v>
      </c>
      <c r="C101" s="6" t="str">
        <f t="shared" si="29"/>
        <v>Active/Unavailable</v>
      </c>
      <c r="D101" s="5" t="s">
        <v>18</v>
      </c>
      <c r="E101" s="5" t="s">
        <v>454</v>
      </c>
      <c r="F101" s="5" t="s">
        <v>455</v>
      </c>
      <c r="G101" s="5" t="str">
        <f t="shared" si="27"/>
        <v>Not Available</v>
      </c>
      <c r="H101" s="5" t="s">
        <v>268</v>
      </c>
      <c r="I101" s="5" t="s">
        <v>22</v>
      </c>
      <c r="J101" s="5" t="s">
        <v>3387</v>
      </c>
      <c r="K101" s="5" t="s">
        <v>3393</v>
      </c>
      <c r="L101" s="5" t="s">
        <v>23</v>
      </c>
      <c r="M101" s="5" t="s">
        <v>3466</v>
      </c>
      <c r="N101" s="5" t="s">
        <v>456</v>
      </c>
      <c r="O101" s="5" t="s">
        <v>33</v>
      </c>
      <c r="P101" s="5" t="s">
        <v>26</v>
      </c>
      <c r="Q101" s="5" t="s">
        <v>34</v>
      </c>
      <c r="R101" s="5">
        <v>2134</v>
      </c>
      <c r="S101" s="5">
        <v>42.3686440590687</v>
      </c>
      <c r="T101" s="5">
        <v>-70.959466160000005</v>
      </c>
    </row>
    <row r="102" spans="1:20" x14ac:dyDescent="0.3">
      <c r="A102" s="5" t="s">
        <v>457</v>
      </c>
      <c r="B102" s="6">
        <v>33515</v>
      </c>
      <c r="C102" s="6" t="str">
        <f t="shared" si="29"/>
        <v>Active/Unavailable</v>
      </c>
      <c r="D102" s="5" t="s">
        <v>18</v>
      </c>
      <c r="E102" s="5" t="s">
        <v>458</v>
      </c>
      <c r="F102" s="5" t="s">
        <v>459</v>
      </c>
      <c r="G102" s="5" t="str">
        <f t="shared" si="27"/>
        <v>Not Available</v>
      </c>
      <c r="H102" s="5" t="s">
        <v>460</v>
      </c>
      <c r="I102" s="5" t="s">
        <v>22</v>
      </c>
      <c r="J102" s="5" t="s">
        <v>3387</v>
      </c>
      <c r="K102" s="5" t="s">
        <v>3393</v>
      </c>
      <c r="L102" s="5" t="s">
        <v>23</v>
      </c>
      <c r="M102" s="5" t="s">
        <v>3467</v>
      </c>
      <c r="N102" s="5" t="s">
        <v>461</v>
      </c>
      <c r="O102" s="5" t="s">
        <v>25</v>
      </c>
      <c r="P102" s="5" t="s">
        <v>26</v>
      </c>
      <c r="Q102" s="5" t="s">
        <v>27</v>
      </c>
      <c r="R102" s="5">
        <v>2186</v>
      </c>
      <c r="S102" s="5">
        <v>42.28709345</v>
      </c>
      <c r="T102" s="5">
        <v>-71.02030499</v>
      </c>
    </row>
    <row r="103" spans="1:20" x14ac:dyDescent="0.3">
      <c r="A103" s="5" t="s">
        <v>462</v>
      </c>
      <c r="B103" s="6">
        <v>10621</v>
      </c>
      <c r="C103" s="6">
        <v>42482</v>
      </c>
      <c r="D103" s="5" t="s">
        <v>29</v>
      </c>
      <c r="E103" s="5" t="s">
        <v>463</v>
      </c>
      <c r="F103" s="5" t="s">
        <v>464</v>
      </c>
      <c r="G103" s="5" t="str">
        <f t="shared" si="27"/>
        <v>Not Available</v>
      </c>
      <c r="H103" s="5" t="str">
        <f t="shared" ref="H103:H108" si="31">"Not Available"</f>
        <v>Not Available</v>
      </c>
      <c r="I103" s="5" t="s">
        <v>22</v>
      </c>
      <c r="J103" s="5" t="s">
        <v>3387</v>
      </c>
      <c r="K103" s="5" t="s">
        <v>3393</v>
      </c>
      <c r="L103" s="5" t="s">
        <v>22</v>
      </c>
      <c r="M103" s="5" t="s">
        <v>3447</v>
      </c>
      <c r="N103" s="5" t="s">
        <v>465</v>
      </c>
      <c r="O103" s="5" t="s">
        <v>33</v>
      </c>
      <c r="P103" s="5" t="s">
        <v>26</v>
      </c>
      <c r="Q103" s="5" t="s">
        <v>34</v>
      </c>
      <c r="R103" s="5">
        <v>2134</v>
      </c>
      <c r="S103" s="5">
        <v>42.415115165165503</v>
      </c>
      <c r="T103" s="5">
        <v>-71.012032939999997</v>
      </c>
    </row>
    <row r="104" spans="1:20" x14ac:dyDescent="0.3">
      <c r="A104" s="5" t="s">
        <v>466</v>
      </c>
      <c r="B104" s="6">
        <v>10621</v>
      </c>
      <c r="C104" s="6">
        <v>41653</v>
      </c>
      <c r="D104" s="5" t="s">
        <v>29</v>
      </c>
      <c r="E104" s="5" t="s">
        <v>467</v>
      </c>
      <c r="F104" s="5" t="s">
        <v>468</v>
      </c>
      <c r="G104" s="5" t="str">
        <f t="shared" si="27"/>
        <v>Not Available</v>
      </c>
      <c r="H104" s="5" t="str">
        <f t="shared" si="31"/>
        <v>Not Available</v>
      </c>
      <c r="I104" s="5" t="s">
        <v>22</v>
      </c>
      <c r="J104" s="5" t="s">
        <v>3387</v>
      </c>
      <c r="K104" s="5" t="s">
        <v>3393</v>
      </c>
      <c r="L104" s="5" t="s">
        <v>22</v>
      </c>
      <c r="M104" s="5" t="s">
        <v>3468</v>
      </c>
      <c r="N104" s="5" t="s">
        <v>469</v>
      </c>
      <c r="O104" s="5" t="s">
        <v>33</v>
      </c>
      <c r="P104" s="5" t="s">
        <v>26</v>
      </c>
      <c r="Q104" s="5" t="s">
        <v>34</v>
      </c>
      <c r="R104" s="5">
        <v>2115</v>
      </c>
      <c r="S104" s="5">
        <v>42.356888457424397</v>
      </c>
      <c r="T104" s="5">
        <v>-71.091164620000001</v>
      </c>
    </row>
    <row r="105" spans="1:20" x14ac:dyDescent="0.3">
      <c r="A105" s="5" t="s">
        <v>470</v>
      </c>
      <c r="B105" s="6">
        <v>10621</v>
      </c>
      <c r="C105" s="6">
        <v>41408</v>
      </c>
      <c r="D105" s="5" t="s">
        <v>29</v>
      </c>
      <c r="E105" s="5" t="s">
        <v>471</v>
      </c>
      <c r="F105" s="5" t="s">
        <v>472</v>
      </c>
      <c r="G105" s="5" t="str">
        <f t="shared" si="27"/>
        <v>Not Available</v>
      </c>
      <c r="H105" s="5" t="str">
        <f t="shared" si="31"/>
        <v>Not Available</v>
      </c>
      <c r="I105" s="5" t="s">
        <v>22</v>
      </c>
      <c r="J105" s="5" t="s">
        <v>3387</v>
      </c>
      <c r="K105" s="5" t="s">
        <v>3393</v>
      </c>
      <c r="L105" s="5" t="s">
        <v>22</v>
      </c>
      <c r="M105" s="5" t="s">
        <v>3469</v>
      </c>
      <c r="N105" s="5" t="s">
        <v>473</v>
      </c>
      <c r="O105" s="5" t="s">
        <v>33</v>
      </c>
      <c r="P105" s="5" t="s">
        <v>26</v>
      </c>
      <c r="Q105" s="5" t="s">
        <v>34</v>
      </c>
      <c r="R105" s="5">
        <v>2120</v>
      </c>
      <c r="S105" s="5">
        <v>42.366136261984003</v>
      </c>
      <c r="T105" s="5">
        <v>-71.09215897</v>
      </c>
    </row>
    <row r="106" spans="1:20" x14ac:dyDescent="0.3">
      <c r="A106" s="7" t="s">
        <v>474</v>
      </c>
      <c r="B106" s="6">
        <v>10621</v>
      </c>
      <c r="C106" s="6">
        <v>43404</v>
      </c>
      <c r="D106" s="5" t="s">
        <v>29</v>
      </c>
      <c r="E106" s="5" t="s">
        <v>475</v>
      </c>
      <c r="F106" s="5" t="s">
        <v>476</v>
      </c>
      <c r="G106" s="5" t="str">
        <f t="shared" si="27"/>
        <v>Not Available</v>
      </c>
      <c r="H106" s="5" t="str">
        <f t="shared" si="31"/>
        <v>Not Available</v>
      </c>
      <c r="I106" s="5" t="s">
        <v>65</v>
      </c>
      <c r="J106" s="5" t="s">
        <v>3387</v>
      </c>
      <c r="K106" s="5" t="s">
        <v>3393</v>
      </c>
      <c r="L106" s="5" t="s">
        <v>22</v>
      </c>
      <c r="M106" s="5" t="s">
        <v>3436</v>
      </c>
      <c r="N106" s="5" t="s">
        <v>477</v>
      </c>
      <c r="O106" s="5" t="s">
        <v>33</v>
      </c>
      <c r="P106" s="5" t="s">
        <v>26</v>
      </c>
      <c r="Q106" s="5" t="s">
        <v>34</v>
      </c>
      <c r="R106" s="5">
        <v>2135</v>
      </c>
      <c r="S106" s="5">
        <v>42.384012689999999</v>
      </c>
      <c r="T106" s="5">
        <v>-71.030043280000001</v>
      </c>
    </row>
    <row r="107" spans="1:20" x14ac:dyDescent="0.3">
      <c r="A107" s="5" t="s">
        <v>478</v>
      </c>
      <c r="B107" s="6">
        <v>16975</v>
      </c>
      <c r="C107" s="6" t="str">
        <f t="shared" ref="C107:C110" si="32">"Active/Unavailable"</f>
        <v>Active/Unavailable</v>
      </c>
      <c r="D107" s="5" t="s">
        <v>100</v>
      </c>
      <c r="E107" s="5" t="s">
        <v>479</v>
      </c>
      <c r="F107" s="5" t="s">
        <v>480</v>
      </c>
      <c r="G107" s="5" t="str">
        <f t="shared" si="27"/>
        <v>Not Available</v>
      </c>
      <c r="H107" s="5" t="str">
        <f t="shared" si="31"/>
        <v>Not Available</v>
      </c>
      <c r="I107" s="5" t="s">
        <v>65</v>
      </c>
      <c r="J107" s="5" t="s">
        <v>3389</v>
      </c>
      <c r="K107" s="5" t="s">
        <v>3393</v>
      </c>
      <c r="L107" s="5" t="s">
        <v>23</v>
      </c>
      <c r="M107" s="5" t="s">
        <v>3402</v>
      </c>
      <c r="N107" s="5" t="s">
        <v>481</v>
      </c>
      <c r="O107" s="5" t="s">
        <v>33</v>
      </c>
      <c r="P107" s="5" t="s">
        <v>26</v>
      </c>
      <c r="Q107" s="5" t="s">
        <v>34</v>
      </c>
      <c r="R107" s="5">
        <v>2121</v>
      </c>
      <c r="S107" s="5">
        <v>42.335774994318697</v>
      </c>
      <c r="T107" s="5">
        <v>-70.966168730000007</v>
      </c>
    </row>
    <row r="108" spans="1:20" x14ac:dyDescent="0.3">
      <c r="A108" s="5" t="s">
        <v>482</v>
      </c>
      <c r="B108" s="6">
        <v>17202</v>
      </c>
      <c r="C108" s="6" t="str">
        <f t="shared" si="32"/>
        <v>Active/Unavailable</v>
      </c>
      <c r="D108" s="5" t="s">
        <v>100</v>
      </c>
      <c r="E108" s="5" t="s">
        <v>483</v>
      </c>
      <c r="F108" s="5" t="s">
        <v>484</v>
      </c>
      <c r="G108" s="5" t="str">
        <f t="shared" si="27"/>
        <v>Not Available</v>
      </c>
      <c r="H108" s="5" t="str">
        <f t="shared" si="31"/>
        <v>Not Available</v>
      </c>
      <c r="I108" s="5" t="s">
        <v>65</v>
      </c>
      <c r="J108" s="5" t="s">
        <v>3387</v>
      </c>
      <c r="K108" s="5" t="s">
        <v>3393</v>
      </c>
      <c r="L108" s="5" t="s">
        <v>23</v>
      </c>
      <c r="M108" s="5" t="s">
        <v>3405</v>
      </c>
      <c r="N108" s="5" t="s">
        <v>485</v>
      </c>
      <c r="O108" s="5" t="s">
        <v>486</v>
      </c>
      <c r="P108" s="5" t="s">
        <v>26</v>
      </c>
      <c r="Q108" s="5" t="s">
        <v>34</v>
      </c>
      <c r="R108" s="5">
        <v>2152</v>
      </c>
      <c r="S108" s="5">
        <v>42.326621261364203</v>
      </c>
      <c r="T108" s="5">
        <v>-71.053879699999996</v>
      </c>
    </row>
    <row r="109" spans="1:20" x14ac:dyDescent="0.3">
      <c r="A109" s="5" t="s">
        <v>487</v>
      </c>
      <c r="B109" s="6">
        <v>21313</v>
      </c>
      <c r="C109" s="6" t="str">
        <f t="shared" si="32"/>
        <v>Active/Unavailable</v>
      </c>
      <c r="D109" s="5" t="s">
        <v>18</v>
      </c>
      <c r="E109" s="5" t="s">
        <v>488</v>
      </c>
      <c r="F109" s="5" t="s">
        <v>489</v>
      </c>
      <c r="G109" s="5" t="str">
        <f t="shared" si="27"/>
        <v>Not Available</v>
      </c>
      <c r="H109" s="5" t="s">
        <v>490</v>
      </c>
      <c r="I109" s="5" t="s">
        <v>22</v>
      </c>
      <c r="J109" s="5" t="s">
        <v>3387</v>
      </c>
      <c r="K109" s="5" t="s">
        <v>3393</v>
      </c>
      <c r="L109" s="5" t="s">
        <v>23</v>
      </c>
      <c r="M109" s="5" t="s">
        <v>3470</v>
      </c>
      <c r="N109" s="5" t="s">
        <v>491</v>
      </c>
      <c r="O109" s="5" t="s">
        <v>316</v>
      </c>
      <c r="P109" s="5" t="s">
        <v>26</v>
      </c>
      <c r="Q109" s="5" t="s">
        <v>317</v>
      </c>
      <c r="R109" s="5">
        <v>2043</v>
      </c>
      <c r="S109" s="5">
        <v>42.259340380616599</v>
      </c>
      <c r="T109" s="5">
        <v>-70.832316489999997</v>
      </c>
    </row>
    <row r="110" spans="1:20" x14ac:dyDescent="0.3">
      <c r="A110" s="5" t="s">
        <v>492</v>
      </c>
      <c r="B110" s="6">
        <v>10746</v>
      </c>
      <c r="C110" s="6" t="str">
        <f t="shared" si="32"/>
        <v>Active/Unavailable</v>
      </c>
      <c r="D110" s="5" t="s">
        <v>29</v>
      </c>
      <c r="E110" s="5" t="s">
        <v>493</v>
      </c>
      <c r="F110" s="5" t="s">
        <v>263</v>
      </c>
      <c r="G110" s="5" t="str">
        <f t="shared" si="27"/>
        <v>Not Available</v>
      </c>
      <c r="H110" s="5" t="str">
        <f>"Not Available"</f>
        <v>Not Available</v>
      </c>
      <c r="I110" s="5" t="s">
        <v>22</v>
      </c>
      <c r="J110" s="5" t="s">
        <v>3387</v>
      </c>
      <c r="K110" s="5" t="s">
        <v>3394</v>
      </c>
      <c r="L110" s="5" t="s">
        <v>22</v>
      </c>
      <c r="M110" s="5" t="s">
        <v>3471</v>
      </c>
      <c r="N110" s="5" t="s">
        <v>494</v>
      </c>
      <c r="O110" s="5" t="s">
        <v>33</v>
      </c>
      <c r="P110" s="5" t="s">
        <v>26</v>
      </c>
      <c r="Q110" s="5" t="s">
        <v>34</v>
      </c>
      <c r="R110" s="5">
        <v>2124</v>
      </c>
      <c r="S110" s="5">
        <v>42.321842800457901</v>
      </c>
      <c r="T110" s="5">
        <v>-71.150849629999996</v>
      </c>
    </row>
    <row r="111" spans="1:20" x14ac:dyDescent="0.3">
      <c r="A111" s="5" t="s">
        <v>495</v>
      </c>
      <c r="B111" s="6">
        <v>28135</v>
      </c>
      <c r="C111" s="6">
        <v>44198</v>
      </c>
      <c r="D111" s="5" t="s">
        <v>18</v>
      </c>
      <c r="E111" s="5" t="s">
        <v>496</v>
      </c>
      <c r="F111" s="5" t="s">
        <v>111</v>
      </c>
      <c r="G111" s="5" t="str">
        <f t="shared" si="27"/>
        <v>Not Available</v>
      </c>
      <c r="H111" s="5" t="s">
        <v>497</v>
      </c>
      <c r="I111" s="5" t="s">
        <v>22</v>
      </c>
      <c r="J111" s="5" t="s">
        <v>3387</v>
      </c>
      <c r="K111" s="5" t="s">
        <v>3393</v>
      </c>
      <c r="L111" s="5" t="s">
        <v>23</v>
      </c>
      <c r="M111" s="5" t="s">
        <v>3472</v>
      </c>
      <c r="N111" s="5" t="s">
        <v>498</v>
      </c>
      <c r="O111" s="5" t="s">
        <v>33</v>
      </c>
      <c r="P111" s="5" t="s">
        <v>26</v>
      </c>
      <c r="Q111" s="5" t="s">
        <v>34</v>
      </c>
      <c r="R111" s="5">
        <v>2111</v>
      </c>
      <c r="S111" s="5">
        <v>42.344506465121697</v>
      </c>
      <c r="T111" s="5">
        <v>-71.029967060000004</v>
      </c>
    </row>
    <row r="112" spans="1:20" x14ac:dyDescent="0.3">
      <c r="A112" s="5" t="s">
        <v>499</v>
      </c>
      <c r="B112" s="6">
        <v>21181</v>
      </c>
      <c r="C112" s="6" t="str">
        <f t="shared" ref="C112:C120" si="33">"Active/Unavailable"</f>
        <v>Active/Unavailable</v>
      </c>
      <c r="D112" s="5" t="s">
        <v>18</v>
      </c>
      <c r="E112" s="5" t="s">
        <v>500</v>
      </c>
      <c r="F112" s="5" t="s">
        <v>501</v>
      </c>
      <c r="G112" s="5" t="str">
        <f t="shared" si="27"/>
        <v>Not Available</v>
      </c>
      <c r="H112" s="5" t="s">
        <v>502</v>
      </c>
      <c r="I112" s="5" t="s">
        <v>22</v>
      </c>
      <c r="J112" s="5" t="s">
        <v>3387</v>
      </c>
      <c r="K112" s="5" t="s">
        <v>3394</v>
      </c>
      <c r="L112" s="5" t="s">
        <v>23</v>
      </c>
      <c r="M112" s="5" t="s">
        <v>3473</v>
      </c>
      <c r="N112" s="5" t="s">
        <v>503</v>
      </c>
      <c r="O112" s="5" t="s">
        <v>33</v>
      </c>
      <c r="P112" s="5" t="s">
        <v>26</v>
      </c>
      <c r="Q112" s="5" t="s">
        <v>34</v>
      </c>
      <c r="R112" s="5">
        <v>2199</v>
      </c>
      <c r="S112" s="5">
        <v>42.317055047664098</v>
      </c>
      <c r="T112" s="5">
        <v>-71.165127909999995</v>
      </c>
    </row>
    <row r="113" spans="1:20" x14ac:dyDescent="0.3">
      <c r="A113" s="5" t="s">
        <v>504</v>
      </c>
      <c r="B113" s="6">
        <v>28135</v>
      </c>
      <c r="C113" s="6" t="str">
        <f t="shared" si="33"/>
        <v>Active/Unavailable</v>
      </c>
      <c r="D113" s="5" t="s">
        <v>18</v>
      </c>
      <c r="E113" s="5" t="s">
        <v>505</v>
      </c>
      <c r="F113" s="5" t="s">
        <v>282</v>
      </c>
      <c r="G113" s="5" t="str">
        <f t="shared" si="27"/>
        <v>Not Available</v>
      </c>
      <c r="H113" s="5" t="s">
        <v>506</v>
      </c>
      <c r="I113" s="5" t="s">
        <v>22</v>
      </c>
      <c r="J113" s="5" t="s">
        <v>3387</v>
      </c>
      <c r="K113" s="5" t="s">
        <v>3393</v>
      </c>
      <c r="L113" s="5" t="s">
        <v>23</v>
      </c>
      <c r="M113" s="5" t="s">
        <v>3404</v>
      </c>
      <c r="N113" s="5" t="s">
        <v>507</v>
      </c>
      <c r="O113" s="5" t="s">
        <v>33</v>
      </c>
      <c r="P113" s="5" t="s">
        <v>26</v>
      </c>
      <c r="Q113" s="5" t="s">
        <v>34</v>
      </c>
      <c r="R113" s="5">
        <v>2163</v>
      </c>
      <c r="S113" s="5">
        <v>42.328200545833198</v>
      </c>
      <c r="T113" s="5">
        <v>-71.076017800000002</v>
      </c>
    </row>
    <row r="114" spans="1:20" x14ac:dyDescent="0.3">
      <c r="A114" s="5" t="s">
        <v>508</v>
      </c>
      <c r="B114" s="6">
        <v>17482</v>
      </c>
      <c r="C114" s="6" t="str">
        <f t="shared" si="33"/>
        <v>Active/Unavailable</v>
      </c>
      <c r="D114" s="5" t="s">
        <v>100</v>
      </c>
      <c r="E114" s="5" t="s">
        <v>509</v>
      </c>
      <c r="F114" s="5" t="s">
        <v>510</v>
      </c>
      <c r="G114" s="5" t="str">
        <f t="shared" si="27"/>
        <v>Not Available</v>
      </c>
      <c r="H114" s="5" t="str">
        <f t="shared" ref="H114:H115" si="34">"Not Available"</f>
        <v>Not Available</v>
      </c>
      <c r="I114" s="5" t="s">
        <v>65</v>
      </c>
      <c r="J114" s="5" t="s">
        <v>3387</v>
      </c>
      <c r="K114" s="5" t="s">
        <v>3393</v>
      </c>
      <c r="L114" s="5" t="s">
        <v>23</v>
      </c>
      <c r="M114" s="5" t="s">
        <v>3474</v>
      </c>
      <c r="N114" s="5" t="s">
        <v>511</v>
      </c>
      <c r="O114" s="5" t="s">
        <v>25</v>
      </c>
      <c r="P114" s="5" t="s">
        <v>26</v>
      </c>
      <c r="Q114" s="5" t="s">
        <v>27</v>
      </c>
      <c r="R114" s="5" t="str">
        <f>"0000"</f>
        <v>0000</v>
      </c>
      <c r="S114" s="5">
        <v>42.308390842092599</v>
      </c>
      <c r="T114" s="5">
        <v>-71.038383659999994</v>
      </c>
    </row>
    <row r="115" spans="1:20" x14ac:dyDescent="0.3">
      <c r="A115" s="5" t="s">
        <v>512</v>
      </c>
      <c r="B115" s="6">
        <v>14815</v>
      </c>
      <c r="C115" s="6" t="str">
        <f t="shared" si="33"/>
        <v>Active/Unavailable</v>
      </c>
      <c r="D115" s="5" t="s">
        <v>29</v>
      </c>
      <c r="E115" s="5" t="s">
        <v>513</v>
      </c>
      <c r="F115" s="5" t="s">
        <v>514</v>
      </c>
      <c r="G115" s="5" t="str">
        <f t="shared" si="27"/>
        <v>Not Available</v>
      </c>
      <c r="H115" s="5" t="str">
        <f t="shared" si="34"/>
        <v>Not Available</v>
      </c>
      <c r="I115" s="5" t="s">
        <v>22</v>
      </c>
      <c r="J115" s="5" t="s">
        <v>3389</v>
      </c>
      <c r="K115" s="5" t="s">
        <v>3393</v>
      </c>
      <c r="L115" s="5" t="s">
        <v>22</v>
      </c>
      <c r="M115" s="5" t="s">
        <v>3433</v>
      </c>
      <c r="N115" s="5" t="s">
        <v>515</v>
      </c>
      <c r="O115" s="5" t="s">
        <v>33</v>
      </c>
      <c r="P115" s="5" t="s">
        <v>26</v>
      </c>
      <c r="Q115" s="5" t="s">
        <v>34</v>
      </c>
      <c r="R115" s="5">
        <v>2125</v>
      </c>
      <c r="S115" s="5">
        <v>42.387551333281699</v>
      </c>
      <c r="T115" s="5">
        <v>-71.061572870000006</v>
      </c>
    </row>
    <row r="116" spans="1:20" x14ac:dyDescent="0.3">
      <c r="A116" s="5" t="s">
        <v>516</v>
      </c>
      <c r="B116" s="6">
        <v>15192</v>
      </c>
      <c r="C116" s="6" t="str">
        <f t="shared" si="33"/>
        <v>Active/Unavailable</v>
      </c>
      <c r="D116" s="5" t="s">
        <v>18</v>
      </c>
      <c r="E116" s="5" t="s">
        <v>517</v>
      </c>
      <c r="F116" s="5" t="s">
        <v>518</v>
      </c>
      <c r="G116" s="5" t="str">
        <f t="shared" si="27"/>
        <v>Not Available</v>
      </c>
      <c r="H116" s="5" t="s">
        <v>519</v>
      </c>
      <c r="I116" s="5" t="s">
        <v>22</v>
      </c>
      <c r="J116" s="5" t="s">
        <v>3388</v>
      </c>
      <c r="K116" s="5" t="s">
        <v>3393</v>
      </c>
      <c r="L116" s="5" t="s">
        <v>23</v>
      </c>
      <c r="M116" s="5" t="s">
        <v>3475</v>
      </c>
      <c r="N116" s="5" t="s">
        <v>520</v>
      </c>
      <c r="O116" s="5" t="s">
        <v>56</v>
      </c>
      <c r="P116" s="5" t="s">
        <v>26</v>
      </c>
      <c r="Q116" s="5" t="s">
        <v>57</v>
      </c>
      <c r="R116" s="5">
        <v>2141</v>
      </c>
      <c r="S116" s="5">
        <v>42.326877316507698</v>
      </c>
      <c r="T116" s="5">
        <v>-71.080872749999997</v>
      </c>
    </row>
    <row r="117" spans="1:20" x14ac:dyDescent="0.3">
      <c r="A117" s="5" t="s">
        <v>521</v>
      </c>
      <c r="B117" s="6">
        <v>32246</v>
      </c>
      <c r="C117" s="6" t="str">
        <f t="shared" si="33"/>
        <v>Active/Unavailable</v>
      </c>
      <c r="D117" s="5" t="s">
        <v>29</v>
      </c>
      <c r="E117" s="5" t="s">
        <v>522</v>
      </c>
      <c r="F117" s="5" t="s">
        <v>523</v>
      </c>
      <c r="G117" s="5" t="str">
        <f t="shared" si="27"/>
        <v>Not Available</v>
      </c>
      <c r="H117" s="5" t="str">
        <f>"Not Available"</f>
        <v>Not Available</v>
      </c>
      <c r="I117" s="5" t="s">
        <v>65</v>
      </c>
      <c r="J117" s="5" t="s">
        <v>3387</v>
      </c>
      <c r="K117" s="5" t="s">
        <v>3393</v>
      </c>
      <c r="L117" s="5" t="s">
        <v>22</v>
      </c>
      <c r="M117" s="5" t="s">
        <v>3447</v>
      </c>
      <c r="N117" s="5" t="s">
        <v>524</v>
      </c>
      <c r="O117" s="5" t="s">
        <v>136</v>
      </c>
      <c r="P117" s="5" t="s">
        <v>26</v>
      </c>
      <c r="Q117" s="5" t="s">
        <v>27</v>
      </c>
      <c r="R117" s="5" t="str">
        <f>"0000"</f>
        <v>0000</v>
      </c>
      <c r="S117" s="5">
        <v>42.305905137902002</v>
      </c>
      <c r="T117" s="5">
        <v>-70.808062059999997</v>
      </c>
    </row>
    <row r="118" spans="1:20" x14ac:dyDescent="0.3">
      <c r="A118" s="5" t="s">
        <v>525</v>
      </c>
      <c r="B118" s="6">
        <v>29685</v>
      </c>
      <c r="C118" s="6" t="str">
        <f t="shared" si="33"/>
        <v>Active/Unavailable</v>
      </c>
      <c r="D118" s="5" t="s">
        <v>18</v>
      </c>
      <c r="E118" s="5" t="s">
        <v>526</v>
      </c>
      <c r="F118" s="5" t="s">
        <v>3360</v>
      </c>
      <c r="G118" s="5" t="str">
        <f t="shared" si="27"/>
        <v>Not Available</v>
      </c>
      <c r="H118" s="5" t="s">
        <v>528</v>
      </c>
      <c r="I118" s="5" t="s">
        <v>22</v>
      </c>
      <c r="J118" s="5" t="s">
        <v>3387</v>
      </c>
      <c r="K118" s="5" t="s">
        <v>3393</v>
      </c>
      <c r="L118" s="5" t="s">
        <v>23</v>
      </c>
      <c r="M118" s="5" t="s">
        <v>3419</v>
      </c>
      <c r="N118" s="5" t="s">
        <v>529</v>
      </c>
      <c r="O118" s="5" t="s">
        <v>108</v>
      </c>
      <c r="P118" s="5" t="s">
        <v>26</v>
      </c>
      <c r="Q118" s="5" t="s">
        <v>34</v>
      </c>
      <c r="R118" s="5">
        <v>2151</v>
      </c>
      <c r="S118" s="5">
        <v>42.374769111386499</v>
      </c>
      <c r="T118" s="5">
        <v>-70.954951910000005</v>
      </c>
    </row>
    <row r="119" spans="1:20" x14ac:dyDescent="0.3">
      <c r="A119" s="5" t="s">
        <v>530</v>
      </c>
      <c r="B119" s="6">
        <v>11023</v>
      </c>
      <c r="C119" s="6" t="str">
        <f t="shared" si="33"/>
        <v>Active/Unavailable</v>
      </c>
      <c r="D119" s="5" t="s">
        <v>18</v>
      </c>
      <c r="E119" s="5" t="s">
        <v>531</v>
      </c>
      <c r="F119" s="5" t="s">
        <v>532</v>
      </c>
      <c r="G119" s="5" t="str">
        <f t="shared" si="27"/>
        <v>Not Available</v>
      </c>
      <c r="H119" s="5" t="s">
        <v>533</v>
      </c>
      <c r="I119" s="5" t="s">
        <v>22</v>
      </c>
      <c r="J119" s="5" t="s">
        <v>3387</v>
      </c>
      <c r="K119" s="5" t="s">
        <v>3394</v>
      </c>
      <c r="L119" s="5" t="s">
        <v>23</v>
      </c>
      <c r="M119" s="5" t="s">
        <v>3476</v>
      </c>
      <c r="N119" s="5" t="s">
        <v>534</v>
      </c>
      <c r="O119" s="5" t="s">
        <v>33</v>
      </c>
      <c r="P119" s="5" t="s">
        <v>26</v>
      </c>
      <c r="Q119" s="5" t="s">
        <v>34</v>
      </c>
      <c r="R119" s="5">
        <v>2119</v>
      </c>
      <c r="S119" s="5">
        <v>42.307251294908802</v>
      </c>
      <c r="T119" s="5">
        <v>-71.045681759999994</v>
      </c>
    </row>
    <row r="120" spans="1:20" x14ac:dyDescent="0.3">
      <c r="A120" s="5" t="s">
        <v>535</v>
      </c>
      <c r="B120" s="6">
        <v>10495</v>
      </c>
      <c r="C120" s="6" t="str">
        <f t="shared" si="33"/>
        <v>Active/Unavailable</v>
      </c>
      <c r="D120" s="5" t="s">
        <v>29</v>
      </c>
      <c r="E120" s="5" t="s">
        <v>536</v>
      </c>
      <c r="F120" s="5" t="s">
        <v>537</v>
      </c>
      <c r="G120" s="5" t="str">
        <f t="shared" si="27"/>
        <v>Not Available</v>
      </c>
      <c r="H120" s="5" t="str">
        <f t="shared" ref="H120:H121" si="35">"Not Available"</f>
        <v>Not Available</v>
      </c>
      <c r="I120" s="5" t="s">
        <v>22</v>
      </c>
      <c r="J120" s="5" t="s">
        <v>3387</v>
      </c>
      <c r="K120" s="5" t="s">
        <v>3393</v>
      </c>
      <c r="L120" s="5" t="s">
        <v>22</v>
      </c>
      <c r="M120" s="5" t="s">
        <v>3477</v>
      </c>
      <c r="N120" s="5" t="s">
        <v>538</v>
      </c>
      <c r="O120" s="5" t="s">
        <v>316</v>
      </c>
      <c r="P120" s="5" t="s">
        <v>26</v>
      </c>
      <c r="Q120" s="5" t="s">
        <v>317</v>
      </c>
      <c r="R120" s="5">
        <v>2043</v>
      </c>
      <c r="S120" s="5">
        <v>42.259513651299301</v>
      </c>
      <c r="T120" s="5">
        <v>-70.866996720000003</v>
      </c>
    </row>
    <row r="121" spans="1:20" x14ac:dyDescent="0.3">
      <c r="A121" s="5" t="s">
        <v>539</v>
      </c>
      <c r="B121" s="6">
        <v>15009</v>
      </c>
      <c r="C121" s="6">
        <v>44072</v>
      </c>
      <c r="D121" s="5" t="s">
        <v>29</v>
      </c>
      <c r="E121" s="5" t="s">
        <v>540</v>
      </c>
      <c r="F121" s="5" t="s">
        <v>541</v>
      </c>
      <c r="G121" s="5" t="str">
        <f t="shared" si="27"/>
        <v>Not Available</v>
      </c>
      <c r="H121" s="5" t="str">
        <f t="shared" si="35"/>
        <v>Not Available</v>
      </c>
      <c r="I121" s="5" t="s">
        <v>22</v>
      </c>
      <c r="J121" s="5" t="s">
        <v>3389</v>
      </c>
      <c r="K121" s="5" t="s">
        <v>3393</v>
      </c>
      <c r="L121" s="5" t="s">
        <v>22</v>
      </c>
      <c r="M121" s="5" t="s">
        <v>3478</v>
      </c>
      <c r="N121" s="5" t="s">
        <v>542</v>
      </c>
      <c r="O121" s="5" t="s">
        <v>373</v>
      </c>
      <c r="P121" s="5" t="s">
        <v>26</v>
      </c>
      <c r="Q121" s="5" t="s">
        <v>57</v>
      </c>
      <c r="R121" s="5" t="str">
        <f>"0000"</f>
        <v>0000</v>
      </c>
      <c r="S121" s="5">
        <v>42.341960354654901</v>
      </c>
      <c r="T121" s="5">
        <v>-71.065054140000001</v>
      </c>
    </row>
    <row r="122" spans="1:20" x14ac:dyDescent="0.3">
      <c r="A122" s="5" t="s">
        <v>543</v>
      </c>
      <c r="B122" s="6">
        <v>14553</v>
      </c>
      <c r="C122" s="6" t="str">
        <f t="shared" ref="C122:C132" si="36">"Active/Unavailable"</f>
        <v>Active/Unavailable</v>
      </c>
      <c r="D122" s="5" t="s">
        <v>18</v>
      </c>
      <c r="E122" s="5" t="s">
        <v>544</v>
      </c>
      <c r="F122" s="5" t="s">
        <v>148</v>
      </c>
      <c r="G122" s="5" t="str">
        <f t="shared" si="27"/>
        <v>Not Available</v>
      </c>
      <c r="H122" s="5" t="s">
        <v>545</v>
      </c>
      <c r="I122" s="5" t="s">
        <v>22</v>
      </c>
      <c r="J122" s="5" t="s">
        <v>3387</v>
      </c>
      <c r="K122" s="5" t="s">
        <v>3393</v>
      </c>
      <c r="L122" s="5" t="s">
        <v>23</v>
      </c>
      <c r="M122" s="5" t="s">
        <v>3414</v>
      </c>
      <c r="N122" s="5" t="s">
        <v>546</v>
      </c>
      <c r="O122" s="5" t="s">
        <v>33</v>
      </c>
      <c r="P122" s="5" t="s">
        <v>26</v>
      </c>
      <c r="Q122" s="5" t="s">
        <v>34</v>
      </c>
      <c r="R122" s="5">
        <v>2152</v>
      </c>
      <c r="S122" s="5">
        <v>42.358975765055902</v>
      </c>
      <c r="T122" s="5">
        <v>-71.025690389999994</v>
      </c>
    </row>
    <row r="123" spans="1:20" x14ac:dyDescent="0.3">
      <c r="A123" s="5" t="s">
        <v>547</v>
      </c>
      <c r="B123" s="6">
        <v>29279</v>
      </c>
      <c r="C123" s="6" t="str">
        <f t="shared" si="36"/>
        <v>Active/Unavailable</v>
      </c>
      <c r="D123" s="5" t="s">
        <v>100</v>
      </c>
      <c r="E123" s="5" t="s">
        <v>548</v>
      </c>
      <c r="F123" s="5" t="s">
        <v>549</v>
      </c>
      <c r="G123" s="5" t="str">
        <f t="shared" si="27"/>
        <v>Not Available</v>
      </c>
      <c r="H123" s="5" t="str">
        <f t="shared" ref="H123:H124" si="37">"Not Available"</f>
        <v>Not Available</v>
      </c>
      <c r="I123" s="5" t="s">
        <v>65</v>
      </c>
      <c r="J123" s="5" t="s">
        <v>3387</v>
      </c>
      <c r="K123" s="5" t="s">
        <v>3393</v>
      </c>
      <c r="L123" s="5" t="s">
        <v>23</v>
      </c>
      <c r="M123" s="5" t="s">
        <v>3447</v>
      </c>
      <c r="N123" s="5" t="s">
        <v>550</v>
      </c>
      <c r="O123" s="5" t="s">
        <v>136</v>
      </c>
      <c r="P123" s="5" t="s">
        <v>26</v>
      </c>
      <c r="Q123" s="5" t="s">
        <v>27</v>
      </c>
      <c r="R123" s="5" t="str">
        <f>"0000"</f>
        <v>0000</v>
      </c>
      <c r="S123" s="5">
        <v>42.222444504435003</v>
      </c>
      <c r="T123" s="5">
        <v>-70.800043389999999</v>
      </c>
    </row>
    <row r="124" spans="1:20" x14ac:dyDescent="0.3">
      <c r="A124" s="5" t="s">
        <v>551</v>
      </c>
      <c r="B124" s="6">
        <v>17884</v>
      </c>
      <c r="C124" s="6" t="str">
        <f t="shared" si="36"/>
        <v>Active/Unavailable</v>
      </c>
      <c r="D124" s="5" t="s">
        <v>100</v>
      </c>
      <c r="E124" s="5" t="s">
        <v>552</v>
      </c>
      <c r="F124" s="5" t="s">
        <v>553</v>
      </c>
      <c r="G124" s="5" t="str">
        <f t="shared" si="27"/>
        <v>Not Available</v>
      </c>
      <c r="H124" s="5" t="str">
        <f t="shared" si="37"/>
        <v>Not Available</v>
      </c>
      <c r="I124" s="5" t="s">
        <v>65</v>
      </c>
      <c r="J124" s="5" t="s">
        <v>3387</v>
      </c>
      <c r="K124" s="5" t="s">
        <v>3394</v>
      </c>
      <c r="L124" s="5" t="s">
        <v>23</v>
      </c>
      <c r="M124" s="5" t="s">
        <v>3479</v>
      </c>
      <c r="N124" s="5" t="s">
        <v>554</v>
      </c>
      <c r="O124" s="5" t="s">
        <v>33</v>
      </c>
      <c r="P124" s="5" t="s">
        <v>26</v>
      </c>
      <c r="Q124" s="5" t="s">
        <v>34</v>
      </c>
      <c r="R124" s="5">
        <v>2111</v>
      </c>
      <c r="S124" s="5">
        <v>42.365918312576703</v>
      </c>
      <c r="T124" s="5">
        <v>-70.999886029999999</v>
      </c>
    </row>
    <row r="125" spans="1:20" x14ac:dyDescent="0.3">
      <c r="A125" s="5" t="s">
        <v>555</v>
      </c>
      <c r="B125" s="6">
        <v>33138</v>
      </c>
      <c r="C125" s="6" t="str">
        <f t="shared" si="36"/>
        <v>Active/Unavailable</v>
      </c>
      <c r="D125" s="5" t="s">
        <v>18</v>
      </c>
      <c r="E125" s="5" t="s">
        <v>556</v>
      </c>
      <c r="F125" s="5" t="s">
        <v>557</v>
      </c>
      <c r="G125" s="5" t="str">
        <f t="shared" si="27"/>
        <v>Not Available</v>
      </c>
      <c r="H125" s="5" t="s">
        <v>558</v>
      </c>
      <c r="I125" s="5" t="s">
        <v>22</v>
      </c>
      <c r="J125" s="5" t="s">
        <v>3387</v>
      </c>
      <c r="K125" s="5" t="s">
        <v>3393</v>
      </c>
      <c r="L125" s="5" t="s">
        <v>23</v>
      </c>
      <c r="M125" s="5" t="s">
        <v>3464</v>
      </c>
      <c r="N125" s="5" t="s">
        <v>559</v>
      </c>
      <c r="O125" s="5" t="s">
        <v>56</v>
      </c>
      <c r="P125" s="5" t="s">
        <v>26</v>
      </c>
      <c r="Q125" s="5" t="s">
        <v>57</v>
      </c>
      <c r="R125" s="5">
        <v>2140</v>
      </c>
      <c r="S125" s="5">
        <v>42.356862154694099</v>
      </c>
      <c r="T125" s="5">
        <v>-71.034367739999993</v>
      </c>
    </row>
    <row r="126" spans="1:20" x14ac:dyDescent="0.3">
      <c r="A126" s="5" t="s">
        <v>560</v>
      </c>
      <c r="B126" s="6">
        <v>14208</v>
      </c>
      <c r="C126" s="6" t="str">
        <f t="shared" si="36"/>
        <v>Active/Unavailable</v>
      </c>
      <c r="D126" s="5" t="s">
        <v>18</v>
      </c>
      <c r="E126" s="5" t="s">
        <v>561</v>
      </c>
      <c r="F126" s="5" t="s">
        <v>562</v>
      </c>
      <c r="G126" s="5" t="str">
        <f t="shared" si="27"/>
        <v>Not Available</v>
      </c>
      <c r="H126" s="5" t="s">
        <v>563</v>
      </c>
      <c r="I126" s="5" t="s">
        <v>22</v>
      </c>
      <c r="J126" s="5" t="s">
        <v>3387</v>
      </c>
      <c r="K126" s="5" t="s">
        <v>3394</v>
      </c>
      <c r="L126" s="5" t="s">
        <v>23</v>
      </c>
      <c r="M126" s="5" t="s">
        <v>3480</v>
      </c>
      <c r="N126" s="5" t="s">
        <v>564</v>
      </c>
      <c r="O126" s="5" t="s">
        <v>33</v>
      </c>
      <c r="P126" s="5" t="s">
        <v>26</v>
      </c>
      <c r="Q126" s="5" t="s">
        <v>34</v>
      </c>
      <c r="R126" s="5">
        <v>2127</v>
      </c>
      <c r="S126" s="5">
        <v>42.363058799011299</v>
      </c>
      <c r="T126" s="5">
        <v>-71.029857359999994</v>
      </c>
    </row>
    <row r="127" spans="1:20" x14ac:dyDescent="0.3">
      <c r="A127" s="5" t="s">
        <v>565</v>
      </c>
      <c r="B127" s="6">
        <v>31771</v>
      </c>
      <c r="C127" s="6" t="str">
        <f t="shared" si="36"/>
        <v>Active/Unavailable</v>
      </c>
      <c r="D127" s="5" t="s">
        <v>18</v>
      </c>
      <c r="E127" s="5" t="s">
        <v>566</v>
      </c>
      <c r="F127" s="5" t="s">
        <v>567</v>
      </c>
      <c r="G127" s="5" t="str">
        <f t="shared" si="27"/>
        <v>Not Available</v>
      </c>
      <c r="H127" s="5" t="s">
        <v>568</v>
      </c>
      <c r="I127" s="5" t="s">
        <v>22</v>
      </c>
      <c r="J127" s="5" t="s">
        <v>3387</v>
      </c>
      <c r="K127" s="5" t="s">
        <v>3393</v>
      </c>
      <c r="L127" s="5" t="s">
        <v>23</v>
      </c>
      <c r="M127" s="5" t="s">
        <v>3416</v>
      </c>
      <c r="N127" s="5" t="s">
        <v>569</v>
      </c>
      <c r="O127" s="5" t="s">
        <v>316</v>
      </c>
      <c r="P127" s="5" t="s">
        <v>26</v>
      </c>
      <c r="Q127" s="5" t="s">
        <v>317</v>
      </c>
      <c r="R127" s="5">
        <v>2043</v>
      </c>
      <c r="S127" s="5">
        <v>42.224011215803699</v>
      </c>
      <c r="T127" s="5">
        <v>-70.910002000000006</v>
      </c>
    </row>
    <row r="128" spans="1:20" x14ac:dyDescent="0.3">
      <c r="A128" s="5" t="s">
        <v>570</v>
      </c>
      <c r="B128" s="6">
        <v>12576</v>
      </c>
      <c r="C128" s="6" t="str">
        <f t="shared" si="36"/>
        <v>Active/Unavailable</v>
      </c>
      <c r="D128" s="5" t="s">
        <v>29</v>
      </c>
      <c r="E128" s="5" t="s">
        <v>571</v>
      </c>
      <c r="F128" s="5" t="s">
        <v>572</v>
      </c>
      <c r="G128" s="5" t="str">
        <f t="shared" si="27"/>
        <v>Not Available</v>
      </c>
      <c r="H128" s="5" t="str">
        <f t="shared" ref="H128:H129" si="38">"Not Available"</f>
        <v>Not Available</v>
      </c>
      <c r="I128" s="5" t="s">
        <v>65</v>
      </c>
      <c r="J128" s="5" t="s">
        <v>3387</v>
      </c>
      <c r="K128" s="5" t="s">
        <v>3393</v>
      </c>
      <c r="L128" s="5" t="s">
        <v>22</v>
      </c>
      <c r="M128" s="5" t="s">
        <v>3404</v>
      </c>
      <c r="N128" s="5" t="s">
        <v>573</v>
      </c>
      <c r="O128" s="5" t="s">
        <v>574</v>
      </c>
      <c r="P128" s="5" t="s">
        <v>26</v>
      </c>
      <c r="Q128" s="5" t="s">
        <v>27</v>
      </c>
      <c r="R128" s="5" t="str">
        <f>"0000"</f>
        <v>0000</v>
      </c>
      <c r="S128" s="5">
        <v>42.3664154889169</v>
      </c>
      <c r="T128" s="5">
        <v>-71.11897725</v>
      </c>
    </row>
    <row r="129" spans="1:20" x14ac:dyDescent="0.3">
      <c r="A129" s="5" t="s">
        <v>575</v>
      </c>
      <c r="B129" s="6">
        <v>15073</v>
      </c>
      <c r="C129" s="6" t="str">
        <f t="shared" si="36"/>
        <v>Active/Unavailable</v>
      </c>
      <c r="D129" s="5" t="s">
        <v>29</v>
      </c>
      <c r="E129" s="5" t="s">
        <v>576</v>
      </c>
      <c r="F129" s="5" t="s">
        <v>577</v>
      </c>
      <c r="G129" s="5" t="str">
        <f t="shared" si="27"/>
        <v>Not Available</v>
      </c>
      <c r="H129" s="5" t="str">
        <f t="shared" si="38"/>
        <v>Not Available</v>
      </c>
      <c r="I129" s="5" t="s">
        <v>65</v>
      </c>
      <c r="J129" s="5" t="s">
        <v>3387</v>
      </c>
      <c r="K129" s="5" t="s">
        <v>3393</v>
      </c>
      <c r="L129" s="5" t="s">
        <v>22</v>
      </c>
      <c r="M129" s="5" t="s">
        <v>3400</v>
      </c>
      <c r="N129" s="5" t="s">
        <v>578</v>
      </c>
      <c r="O129" s="5" t="s">
        <v>33</v>
      </c>
      <c r="P129" s="5" t="s">
        <v>26</v>
      </c>
      <c r="Q129" s="5" t="s">
        <v>34</v>
      </c>
      <c r="R129" s="5">
        <v>2114</v>
      </c>
      <c r="S129" s="5">
        <v>42.329725549999999</v>
      </c>
      <c r="T129" s="5">
        <v>-71.120531270000001</v>
      </c>
    </row>
    <row r="130" spans="1:20" x14ac:dyDescent="0.3">
      <c r="A130" s="5" t="s">
        <v>579</v>
      </c>
      <c r="B130" s="6">
        <v>23491</v>
      </c>
      <c r="C130" s="6" t="str">
        <f t="shared" si="36"/>
        <v>Active/Unavailable</v>
      </c>
      <c r="D130" s="5" t="s">
        <v>18</v>
      </c>
      <c r="E130" s="5" t="s">
        <v>580</v>
      </c>
      <c r="F130" s="5" t="s">
        <v>78</v>
      </c>
      <c r="G130" s="5" t="str">
        <f t="shared" si="27"/>
        <v>Not Available</v>
      </c>
      <c r="H130" s="5" t="s">
        <v>581</v>
      </c>
      <c r="I130" s="5" t="s">
        <v>22</v>
      </c>
      <c r="J130" s="5" t="s">
        <v>3387</v>
      </c>
      <c r="K130" s="5" t="s">
        <v>3393</v>
      </c>
      <c r="L130" s="5" t="s">
        <v>23</v>
      </c>
      <c r="M130" s="5" t="s">
        <v>3414</v>
      </c>
      <c r="N130" s="5" t="s">
        <v>582</v>
      </c>
      <c r="O130" s="5" t="s">
        <v>136</v>
      </c>
      <c r="P130" s="5" t="s">
        <v>26</v>
      </c>
      <c r="Q130" s="5" t="s">
        <v>27</v>
      </c>
      <c r="R130" s="5" t="str">
        <f>"0000"</f>
        <v>0000</v>
      </c>
      <c r="S130" s="5">
        <v>42.291572025516501</v>
      </c>
      <c r="T130" s="5">
        <v>-70.834340990000001</v>
      </c>
    </row>
    <row r="131" spans="1:20" x14ac:dyDescent="0.3">
      <c r="A131" s="7" t="s">
        <v>583</v>
      </c>
      <c r="B131" s="6">
        <v>29312</v>
      </c>
      <c r="C131" s="6" t="str">
        <f t="shared" si="36"/>
        <v>Active/Unavailable</v>
      </c>
      <c r="D131" s="5" t="s">
        <v>29</v>
      </c>
      <c r="E131" s="5" t="s">
        <v>584</v>
      </c>
      <c r="F131" s="5" t="s">
        <v>585</v>
      </c>
      <c r="G131" s="5" t="str">
        <f t="shared" si="27"/>
        <v>Not Available</v>
      </c>
      <c r="H131" s="5" t="str">
        <f t="shared" ref="H131:H132" si="39">"Not Available"</f>
        <v>Not Available</v>
      </c>
      <c r="I131" s="5" t="s">
        <v>22</v>
      </c>
      <c r="J131" s="5" t="s">
        <v>3387</v>
      </c>
      <c r="K131" s="5" t="s">
        <v>3393</v>
      </c>
      <c r="L131" s="5" t="s">
        <v>22</v>
      </c>
      <c r="M131" s="5" t="s">
        <v>3481</v>
      </c>
      <c r="N131" s="5" t="s">
        <v>586</v>
      </c>
      <c r="O131" s="5" t="s">
        <v>587</v>
      </c>
      <c r="P131" s="5" t="s">
        <v>26</v>
      </c>
      <c r="Q131" s="5" t="s">
        <v>27</v>
      </c>
      <c r="R131" s="5">
        <v>2184</v>
      </c>
      <c r="S131" s="5">
        <v>42.245219432717001</v>
      </c>
      <c r="T131" s="5">
        <v>-70.980196449999994</v>
      </c>
    </row>
    <row r="132" spans="1:20" x14ac:dyDescent="0.3">
      <c r="A132" s="5" t="s">
        <v>588</v>
      </c>
      <c r="B132" s="6">
        <v>29544</v>
      </c>
      <c r="C132" s="6" t="str">
        <f t="shared" si="36"/>
        <v>Active/Unavailable</v>
      </c>
      <c r="D132" s="5" t="s">
        <v>29</v>
      </c>
      <c r="E132" s="5" t="s">
        <v>589</v>
      </c>
      <c r="F132" s="5" t="s">
        <v>414</v>
      </c>
      <c r="G132" s="5" t="str">
        <f t="shared" si="27"/>
        <v>Not Available</v>
      </c>
      <c r="H132" s="5" t="str">
        <f t="shared" si="39"/>
        <v>Not Available</v>
      </c>
      <c r="I132" s="5" t="s">
        <v>22</v>
      </c>
      <c r="J132" s="5" t="s">
        <v>3387</v>
      </c>
      <c r="K132" s="5" t="s">
        <v>3393</v>
      </c>
      <c r="L132" s="5" t="s">
        <v>22</v>
      </c>
      <c r="M132" s="5" t="s">
        <v>3482</v>
      </c>
      <c r="N132" s="5" t="s">
        <v>590</v>
      </c>
      <c r="O132" s="5" t="s">
        <v>33</v>
      </c>
      <c r="P132" s="5" t="s">
        <v>26</v>
      </c>
      <c r="Q132" s="5" t="s">
        <v>34</v>
      </c>
      <c r="R132" s="5">
        <v>2115</v>
      </c>
      <c r="S132" s="5">
        <v>42.306535388636398</v>
      </c>
      <c r="T132" s="5">
        <v>-71.00093751</v>
      </c>
    </row>
    <row r="133" spans="1:20" x14ac:dyDescent="0.3">
      <c r="A133" s="5" t="s">
        <v>591</v>
      </c>
      <c r="B133" s="6">
        <v>9898</v>
      </c>
      <c r="C133" s="6">
        <v>43085</v>
      </c>
      <c r="D133" s="5" t="s">
        <v>18</v>
      </c>
      <c r="E133" s="5" t="s">
        <v>592</v>
      </c>
      <c r="F133" s="5" t="s">
        <v>268</v>
      </c>
      <c r="G133" s="5" t="str">
        <f t="shared" si="27"/>
        <v>Not Available</v>
      </c>
      <c r="H133" s="5" t="s">
        <v>593</v>
      </c>
      <c r="I133" s="5" t="s">
        <v>22</v>
      </c>
      <c r="J133" s="5" t="s">
        <v>3392</v>
      </c>
      <c r="K133" s="5" t="s">
        <v>3393</v>
      </c>
      <c r="L133" s="5" t="s">
        <v>23</v>
      </c>
      <c r="M133" s="5" t="s">
        <v>3483</v>
      </c>
      <c r="N133" s="5" t="s">
        <v>594</v>
      </c>
      <c r="O133" s="5" t="s">
        <v>33</v>
      </c>
      <c r="P133" s="5" t="s">
        <v>26</v>
      </c>
      <c r="Q133" s="5" t="s">
        <v>34</v>
      </c>
      <c r="R133" s="5">
        <v>2134</v>
      </c>
      <c r="S133" s="5">
        <v>42.365523008536798</v>
      </c>
      <c r="T133" s="5">
        <v>-71.103703899999999</v>
      </c>
    </row>
    <row r="134" spans="1:20" x14ac:dyDescent="0.3">
      <c r="A134" s="5" t="s">
        <v>595</v>
      </c>
      <c r="B134" s="6">
        <v>8376</v>
      </c>
      <c r="C134" s="6" t="str">
        <f>"Active/Unavailable"</f>
        <v>Active/Unavailable</v>
      </c>
      <c r="D134" s="5" t="s">
        <v>18</v>
      </c>
      <c r="E134" s="5" t="s">
        <v>596</v>
      </c>
      <c r="F134" s="5" t="s">
        <v>597</v>
      </c>
      <c r="G134" s="5" t="str">
        <f t="shared" si="27"/>
        <v>Not Available</v>
      </c>
      <c r="H134" s="5" t="s">
        <v>598</v>
      </c>
      <c r="I134" s="5" t="s">
        <v>22</v>
      </c>
      <c r="J134" s="5" t="s">
        <v>3387</v>
      </c>
      <c r="K134" s="5" t="s">
        <v>3393</v>
      </c>
      <c r="L134" s="5" t="s">
        <v>23</v>
      </c>
      <c r="M134" s="5" t="s">
        <v>3484</v>
      </c>
      <c r="N134" s="5" t="s">
        <v>599</v>
      </c>
      <c r="O134" s="5" t="s">
        <v>88</v>
      </c>
      <c r="P134" s="5" t="s">
        <v>26</v>
      </c>
      <c r="Q134" s="5" t="s">
        <v>57</v>
      </c>
      <c r="R134" s="5" t="str">
        <f>"0000"</f>
        <v>0000</v>
      </c>
      <c r="S134" s="5">
        <v>42.3774480054661</v>
      </c>
      <c r="T134" s="5">
        <v>-71.052615970000005</v>
      </c>
    </row>
    <row r="135" spans="1:20" x14ac:dyDescent="0.3">
      <c r="A135" s="5" t="s">
        <v>600</v>
      </c>
      <c r="B135" s="6">
        <v>9898</v>
      </c>
      <c r="C135" s="6">
        <v>43244</v>
      </c>
      <c r="D135" s="5" t="s">
        <v>100</v>
      </c>
      <c r="E135" s="5" t="s">
        <v>458</v>
      </c>
      <c r="F135" s="5" t="s">
        <v>601</v>
      </c>
      <c r="G135" s="5" t="str">
        <f t="shared" si="27"/>
        <v>Not Available</v>
      </c>
      <c r="H135" s="5" t="str">
        <f>"Not Available"</f>
        <v>Not Available</v>
      </c>
      <c r="I135" s="5" t="s">
        <v>65</v>
      </c>
      <c r="J135" s="5" t="s">
        <v>3392</v>
      </c>
      <c r="K135" s="5" t="s">
        <v>3393</v>
      </c>
      <c r="L135" s="5" t="s">
        <v>23</v>
      </c>
      <c r="M135" s="5" t="s">
        <v>3485</v>
      </c>
      <c r="N135" s="5" t="s">
        <v>3695</v>
      </c>
      <c r="O135" s="5" t="s">
        <v>33</v>
      </c>
      <c r="P135" s="5" t="s">
        <v>26</v>
      </c>
      <c r="Q135" s="5" t="s">
        <v>34</v>
      </c>
      <c r="R135" s="5">
        <v>2116</v>
      </c>
      <c r="S135" s="5">
        <v>42.328413549092197</v>
      </c>
      <c r="T135" s="5">
        <v>-70.991008769999993</v>
      </c>
    </row>
    <row r="136" spans="1:20" x14ac:dyDescent="0.3">
      <c r="A136" s="5" t="s">
        <v>602</v>
      </c>
      <c r="B136" s="6">
        <v>32879</v>
      </c>
      <c r="C136" s="6" t="str">
        <f t="shared" ref="C136:C141" si="40">"Active/Unavailable"</f>
        <v>Active/Unavailable</v>
      </c>
      <c r="D136" s="5" t="s">
        <v>18</v>
      </c>
      <c r="E136" s="5" t="s">
        <v>603</v>
      </c>
      <c r="F136" s="5" t="s">
        <v>604</v>
      </c>
      <c r="G136" s="5" t="str">
        <f t="shared" si="27"/>
        <v>Not Available</v>
      </c>
      <c r="H136" s="5" t="s">
        <v>605</v>
      </c>
      <c r="I136" s="5" t="s">
        <v>22</v>
      </c>
      <c r="J136" s="5" t="s">
        <v>3387</v>
      </c>
      <c r="K136" s="5" t="s">
        <v>3394</v>
      </c>
      <c r="L136" s="5" t="s">
        <v>23</v>
      </c>
      <c r="M136" s="5" t="s">
        <v>3486</v>
      </c>
      <c r="N136" s="5" t="s">
        <v>606</v>
      </c>
      <c r="O136" s="5" t="s">
        <v>33</v>
      </c>
      <c r="P136" s="5" t="s">
        <v>26</v>
      </c>
      <c r="Q136" s="5" t="s">
        <v>34</v>
      </c>
      <c r="R136" s="5">
        <v>2136</v>
      </c>
      <c r="S136" s="5">
        <v>42.372575446133801</v>
      </c>
      <c r="T136" s="5">
        <v>-70.958628809999993</v>
      </c>
    </row>
    <row r="137" spans="1:20" x14ac:dyDescent="0.3">
      <c r="A137" s="5" t="s">
        <v>607</v>
      </c>
      <c r="B137" s="6">
        <v>9898</v>
      </c>
      <c r="C137" s="6" t="str">
        <f t="shared" si="40"/>
        <v>Active/Unavailable</v>
      </c>
      <c r="D137" s="5" t="s">
        <v>100</v>
      </c>
      <c r="E137" s="5" t="s">
        <v>608</v>
      </c>
      <c r="F137" s="5" t="s">
        <v>609</v>
      </c>
      <c r="G137" s="5" t="str">
        <f t="shared" si="27"/>
        <v>Not Available</v>
      </c>
      <c r="H137" s="5" t="str">
        <f t="shared" ref="H137:H140" si="41">"Not Available"</f>
        <v>Not Available</v>
      </c>
      <c r="I137" s="5" t="s">
        <v>65</v>
      </c>
      <c r="J137" s="5" t="s">
        <v>3392</v>
      </c>
      <c r="K137" s="5" t="s">
        <v>3393</v>
      </c>
      <c r="L137" s="5" t="s">
        <v>23</v>
      </c>
      <c r="M137" s="5" t="s">
        <v>3487</v>
      </c>
      <c r="N137" s="5" t="s">
        <v>610</v>
      </c>
      <c r="O137" s="5" t="s">
        <v>33</v>
      </c>
      <c r="P137" s="5" t="s">
        <v>26</v>
      </c>
      <c r="Q137" s="5" t="s">
        <v>34</v>
      </c>
      <c r="R137" s="5">
        <v>2467</v>
      </c>
      <c r="S137" s="5">
        <v>42.341954960000002</v>
      </c>
      <c r="T137" s="5">
        <v>-71.016854140000007</v>
      </c>
    </row>
    <row r="138" spans="1:20" x14ac:dyDescent="0.3">
      <c r="A138" s="5" t="s">
        <v>611</v>
      </c>
      <c r="B138" s="6">
        <v>20115</v>
      </c>
      <c r="C138" s="6" t="str">
        <f t="shared" si="40"/>
        <v>Active/Unavailable</v>
      </c>
      <c r="D138" s="5" t="s">
        <v>29</v>
      </c>
      <c r="E138" s="5" t="s">
        <v>612</v>
      </c>
      <c r="F138" s="5" t="s">
        <v>613</v>
      </c>
      <c r="G138" s="5" t="str">
        <f t="shared" si="27"/>
        <v>Not Available</v>
      </c>
      <c r="H138" s="5" t="str">
        <f t="shared" si="41"/>
        <v>Not Available</v>
      </c>
      <c r="I138" s="5" t="s">
        <v>22</v>
      </c>
      <c r="J138" s="5" t="s">
        <v>3387</v>
      </c>
      <c r="K138" s="5" t="s">
        <v>3393</v>
      </c>
      <c r="L138" s="5" t="s">
        <v>22</v>
      </c>
      <c r="M138" s="5" t="s">
        <v>3464</v>
      </c>
      <c r="N138" s="5" t="s">
        <v>614</v>
      </c>
      <c r="O138" s="5" t="s">
        <v>33</v>
      </c>
      <c r="P138" s="5" t="s">
        <v>26</v>
      </c>
      <c r="Q138" s="5" t="s">
        <v>34</v>
      </c>
      <c r="R138" s="5">
        <v>2124</v>
      </c>
      <c r="S138" s="5">
        <v>42.320176010666302</v>
      </c>
      <c r="T138" s="5">
        <v>-71.075323280000006</v>
      </c>
    </row>
    <row r="139" spans="1:20" x14ac:dyDescent="0.3">
      <c r="A139" s="5" t="s">
        <v>615</v>
      </c>
      <c r="B139" s="6">
        <v>12847</v>
      </c>
      <c r="C139" s="6" t="str">
        <f t="shared" si="40"/>
        <v>Active/Unavailable</v>
      </c>
      <c r="D139" s="5" t="s">
        <v>29</v>
      </c>
      <c r="E139" s="5" t="s">
        <v>616</v>
      </c>
      <c r="F139" s="5" t="s">
        <v>617</v>
      </c>
      <c r="G139" s="5" t="str">
        <f t="shared" si="27"/>
        <v>Not Available</v>
      </c>
      <c r="H139" s="5" t="str">
        <f t="shared" si="41"/>
        <v>Not Available</v>
      </c>
      <c r="I139" s="5" t="s">
        <v>22</v>
      </c>
      <c r="J139" s="5" t="s">
        <v>3389</v>
      </c>
      <c r="K139" s="5" t="s">
        <v>3394</v>
      </c>
      <c r="L139" s="5" t="s">
        <v>22</v>
      </c>
      <c r="M139" s="5" t="s">
        <v>3396</v>
      </c>
      <c r="N139" s="5" t="s">
        <v>618</v>
      </c>
      <c r="O139" s="5" t="s">
        <v>33</v>
      </c>
      <c r="P139" s="5" t="s">
        <v>26</v>
      </c>
      <c r="Q139" s="5" t="s">
        <v>34</v>
      </c>
      <c r="R139" s="5">
        <v>2152</v>
      </c>
      <c r="S139" s="5">
        <v>42.378355611675602</v>
      </c>
      <c r="T139" s="5">
        <v>-71.03901827</v>
      </c>
    </row>
    <row r="140" spans="1:20" x14ac:dyDescent="0.3">
      <c r="A140" s="5" t="s">
        <v>619</v>
      </c>
      <c r="B140" s="6">
        <v>20013</v>
      </c>
      <c r="C140" s="6" t="str">
        <f t="shared" si="40"/>
        <v>Active/Unavailable</v>
      </c>
      <c r="D140" s="5" t="s">
        <v>29</v>
      </c>
      <c r="E140" s="5" t="s">
        <v>620</v>
      </c>
      <c r="F140" s="5" t="s">
        <v>53</v>
      </c>
      <c r="G140" s="5" t="str">
        <f t="shared" si="27"/>
        <v>Not Available</v>
      </c>
      <c r="H140" s="5" t="str">
        <f t="shared" si="41"/>
        <v>Not Available</v>
      </c>
      <c r="I140" s="5" t="s">
        <v>22</v>
      </c>
      <c r="J140" s="5" t="s">
        <v>3388</v>
      </c>
      <c r="K140" s="5" t="s">
        <v>3393</v>
      </c>
      <c r="L140" s="5" t="s">
        <v>22</v>
      </c>
      <c r="M140" s="5" t="s">
        <v>3400</v>
      </c>
      <c r="N140" s="5" t="s">
        <v>621</v>
      </c>
      <c r="O140" s="5" t="s">
        <v>88</v>
      </c>
      <c r="P140" s="5" t="s">
        <v>26</v>
      </c>
      <c r="Q140" s="5" t="s">
        <v>57</v>
      </c>
      <c r="R140" s="5">
        <v>2145</v>
      </c>
      <c r="S140" s="5">
        <v>42.363394506119398</v>
      </c>
      <c r="T140" s="5">
        <v>-71.136614230000006</v>
      </c>
    </row>
    <row r="141" spans="1:20" x14ac:dyDescent="0.3">
      <c r="A141" s="5" t="s">
        <v>622</v>
      </c>
      <c r="B141" s="6">
        <v>28402</v>
      </c>
      <c r="C141" s="6" t="str">
        <f t="shared" si="40"/>
        <v>Active/Unavailable</v>
      </c>
      <c r="D141" s="5" t="s">
        <v>18</v>
      </c>
      <c r="E141" s="5" t="s">
        <v>623</v>
      </c>
      <c r="F141" s="5" t="s">
        <v>624</v>
      </c>
      <c r="G141" s="5" t="str">
        <f t="shared" si="27"/>
        <v>Not Available</v>
      </c>
      <c r="H141" s="5" t="s">
        <v>625</v>
      </c>
      <c r="I141" s="5" t="s">
        <v>22</v>
      </c>
      <c r="J141" s="5" t="s">
        <v>3387</v>
      </c>
      <c r="K141" s="5" t="s">
        <v>3393</v>
      </c>
      <c r="L141" s="5" t="s">
        <v>23</v>
      </c>
      <c r="M141" s="5" t="s">
        <v>3488</v>
      </c>
      <c r="N141" s="5" t="s">
        <v>626</v>
      </c>
      <c r="O141" s="5" t="s">
        <v>33</v>
      </c>
      <c r="P141" s="5" t="s">
        <v>26</v>
      </c>
      <c r="Q141" s="5" t="s">
        <v>34</v>
      </c>
      <c r="R141" s="5">
        <v>2136</v>
      </c>
      <c r="S141" s="5">
        <v>42.3782288535443</v>
      </c>
      <c r="T141" s="5">
        <v>-71.042327360000002</v>
      </c>
    </row>
    <row r="142" spans="1:20" x14ac:dyDescent="0.3">
      <c r="A142" s="5" t="s">
        <v>627</v>
      </c>
      <c r="B142" s="6">
        <v>16610</v>
      </c>
      <c r="C142" s="6">
        <v>41480</v>
      </c>
      <c r="D142" s="5" t="s">
        <v>18</v>
      </c>
      <c r="E142" s="5" t="s">
        <v>628</v>
      </c>
      <c r="F142" s="5" t="s">
        <v>629</v>
      </c>
      <c r="G142" s="5" t="str">
        <f t="shared" si="27"/>
        <v>Not Available</v>
      </c>
      <c r="H142" s="5" t="s">
        <v>630</v>
      </c>
      <c r="I142" s="5" t="s">
        <v>22</v>
      </c>
      <c r="J142" s="5" t="s">
        <v>3387</v>
      </c>
      <c r="K142" s="5" t="s">
        <v>3393</v>
      </c>
      <c r="L142" s="5" t="s">
        <v>23</v>
      </c>
      <c r="M142" s="5" t="s">
        <v>3489</v>
      </c>
      <c r="N142" s="5" t="s">
        <v>631</v>
      </c>
      <c r="O142" s="5" t="s">
        <v>632</v>
      </c>
      <c r="P142" s="5" t="s">
        <v>26</v>
      </c>
      <c r="Q142" s="5" t="s">
        <v>633</v>
      </c>
      <c r="R142" s="5" t="str">
        <f>"0000"</f>
        <v>0000</v>
      </c>
      <c r="S142" s="5">
        <v>42.487274832698198</v>
      </c>
      <c r="T142" s="5">
        <v>-71.082430070000001</v>
      </c>
    </row>
    <row r="143" spans="1:20" x14ac:dyDescent="0.3">
      <c r="A143" s="5" t="s">
        <v>634</v>
      </c>
      <c r="B143" s="6">
        <v>20641</v>
      </c>
      <c r="C143" s="6" t="str">
        <f>"Active/Unavailable"</f>
        <v>Active/Unavailable</v>
      </c>
      <c r="D143" s="5" t="s">
        <v>100</v>
      </c>
      <c r="E143" s="5" t="s">
        <v>635</v>
      </c>
      <c r="F143" s="5" t="s">
        <v>636</v>
      </c>
      <c r="G143" s="5" t="str">
        <f t="shared" si="27"/>
        <v>Not Available</v>
      </c>
      <c r="H143" s="5" t="str">
        <f t="shared" ref="H143:H153" si="42">"Not Available"</f>
        <v>Not Available</v>
      </c>
      <c r="I143" s="5" t="s">
        <v>65</v>
      </c>
      <c r="J143" s="5" t="s">
        <v>3389</v>
      </c>
      <c r="K143" s="5" t="s">
        <v>3393</v>
      </c>
      <c r="L143" s="5" t="s">
        <v>23</v>
      </c>
      <c r="M143" s="5" t="s">
        <v>3490</v>
      </c>
      <c r="N143" s="5" t="s">
        <v>637</v>
      </c>
      <c r="O143" s="5" t="s">
        <v>172</v>
      </c>
      <c r="P143" s="5" t="s">
        <v>26</v>
      </c>
      <c r="Q143" s="5" t="s">
        <v>34</v>
      </c>
      <c r="R143" s="5">
        <v>2150</v>
      </c>
      <c r="S143" s="5">
        <v>42.360661708354399</v>
      </c>
      <c r="T143" s="5">
        <v>-71.049841420000007</v>
      </c>
    </row>
    <row r="144" spans="1:20" x14ac:dyDescent="0.3">
      <c r="A144" s="5" t="s">
        <v>638</v>
      </c>
      <c r="B144" s="6">
        <v>32104</v>
      </c>
      <c r="C144" s="6">
        <v>41683</v>
      </c>
      <c r="D144" s="5" t="s">
        <v>29</v>
      </c>
      <c r="E144" s="5" t="s">
        <v>639</v>
      </c>
      <c r="F144" s="5" t="s">
        <v>97</v>
      </c>
      <c r="G144" s="5" t="str">
        <f t="shared" si="27"/>
        <v>Not Available</v>
      </c>
      <c r="H144" s="5" t="str">
        <f t="shared" si="42"/>
        <v>Not Available</v>
      </c>
      <c r="I144" s="5" t="str">
        <f>"Not Available"</f>
        <v>Not Available</v>
      </c>
      <c r="J144" s="5" t="s">
        <v>3387</v>
      </c>
      <c r="K144" s="5" t="s">
        <v>3393</v>
      </c>
      <c r="L144" s="5" t="s">
        <v>22</v>
      </c>
      <c r="M144" s="5" t="s">
        <v>3491</v>
      </c>
      <c r="N144" s="5" t="s">
        <v>640</v>
      </c>
      <c r="O144" s="5" t="s">
        <v>25</v>
      </c>
      <c r="P144" s="5" t="s">
        <v>26</v>
      </c>
      <c r="Q144" s="5" t="s">
        <v>27</v>
      </c>
      <c r="R144" s="5">
        <v>2186</v>
      </c>
      <c r="S144" s="5">
        <v>42.330534392760903</v>
      </c>
      <c r="T144" s="5">
        <v>-70.984130539999995</v>
      </c>
    </row>
    <row r="145" spans="1:20" x14ac:dyDescent="0.3">
      <c r="A145" s="5" t="s">
        <v>641</v>
      </c>
      <c r="B145" s="6">
        <v>32989</v>
      </c>
      <c r="C145" s="6" t="str">
        <f t="shared" ref="C145:C150" si="43">"Active/Unavailable"</f>
        <v>Active/Unavailable</v>
      </c>
      <c r="D145" s="5" t="s">
        <v>29</v>
      </c>
      <c r="E145" s="5" t="s">
        <v>642</v>
      </c>
      <c r="F145" s="5" t="s">
        <v>643</v>
      </c>
      <c r="G145" s="5" t="str">
        <f t="shared" si="27"/>
        <v>Not Available</v>
      </c>
      <c r="H145" s="5" t="str">
        <f t="shared" si="42"/>
        <v>Not Available</v>
      </c>
      <c r="I145" s="5" t="s">
        <v>22</v>
      </c>
      <c r="J145" s="5" t="s">
        <v>3388</v>
      </c>
      <c r="K145" s="5" t="s">
        <v>3393</v>
      </c>
      <c r="L145" s="5" t="s">
        <v>22</v>
      </c>
      <c r="M145" s="5" t="s">
        <v>3492</v>
      </c>
      <c r="N145" s="5" t="s">
        <v>644</v>
      </c>
      <c r="O145" s="5" t="s">
        <v>108</v>
      </c>
      <c r="P145" s="5" t="s">
        <v>26</v>
      </c>
      <c r="Q145" s="5" t="s">
        <v>34</v>
      </c>
      <c r="R145" s="5" t="str">
        <f>"0000"</f>
        <v>0000</v>
      </c>
      <c r="S145" s="5">
        <v>42.398380949903697</v>
      </c>
      <c r="T145" s="5">
        <v>-70.985300890000005</v>
      </c>
    </row>
    <row r="146" spans="1:20" x14ac:dyDescent="0.3">
      <c r="A146" s="5" t="s">
        <v>645</v>
      </c>
      <c r="B146" s="6">
        <v>9010</v>
      </c>
      <c r="C146" s="6" t="str">
        <f t="shared" si="43"/>
        <v>Active/Unavailable</v>
      </c>
      <c r="D146" s="5" t="s">
        <v>29</v>
      </c>
      <c r="E146" s="5" t="s">
        <v>646</v>
      </c>
      <c r="F146" s="5" t="s">
        <v>647</v>
      </c>
      <c r="G146" s="5" t="str">
        <f t="shared" si="27"/>
        <v>Not Available</v>
      </c>
      <c r="H146" s="5" t="str">
        <f t="shared" si="42"/>
        <v>Not Available</v>
      </c>
      <c r="I146" s="5" t="s">
        <v>22</v>
      </c>
      <c r="J146" s="5" t="s">
        <v>3387</v>
      </c>
      <c r="K146" s="5" t="s">
        <v>3393</v>
      </c>
      <c r="L146" s="5" t="s">
        <v>22</v>
      </c>
      <c r="M146" s="5" t="s">
        <v>3493</v>
      </c>
      <c r="N146" s="5" t="s">
        <v>648</v>
      </c>
      <c r="O146" s="5" t="s">
        <v>33</v>
      </c>
      <c r="P146" s="5" t="s">
        <v>26</v>
      </c>
      <c r="Q146" s="5" t="s">
        <v>34</v>
      </c>
      <c r="R146" s="5">
        <v>2151</v>
      </c>
      <c r="S146" s="5">
        <v>42.317516048753603</v>
      </c>
      <c r="T146" s="5">
        <v>-70.997128869999997</v>
      </c>
    </row>
    <row r="147" spans="1:20" x14ac:dyDescent="0.3">
      <c r="A147" s="7" t="s">
        <v>649</v>
      </c>
      <c r="B147" s="6">
        <v>24215</v>
      </c>
      <c r="C147" s="6" t="str">
        <f t="shared" si="43"/>
        <v>Active/Unavailable</v>
      </c>
      <c r="D147" s="5" t="s">
        <v>29</v>
      </c>
      <c r="E147" s="5" t="s">
        <v>650</v>
      </c>
      <c r="F147" s="5" t="s">
        <v>651</v>
      </c>
      <c r="G147" s="5" t="str">
        <f t="shared" si="27"/>
        <v>Not Available</v>
      </c>
      <c r="H147" s="5" t="str">
        <f t="shared" si="42"/>
        <v>Not Available</v>
      </c>
      <c r="I147" s="5" t="s">
        <v>22</v>
      </c>
      <c r="J147" s="5" t="s">
        <v>3387</v>
      </c>
      <c r="K147" s="5" t="s">
        <v>3393</v>
      </c>
      <c r="L147" s="5" t="s">
        <v>22</v>
      </c>
      <c r="M147" s="5" t="s">
        <v>3494</v>
      </c>
      <c r="N147" s="5" t="s">
        <v>652</v>
      </c>
      <c r="O147" s="5" t="s">
        <v>25</v>
      </c>
      <c r="P147" s="5" t="s">
        <v>26</v>
      </c>
      <c r="Q147" s="5" t="s">
        <v>27</v>
      </c>
      <c r="R147" s="5">
        <v>2169</v>
      </c>
      <c r="S147" s="5">
        <v>42.291276902845297</v>
      </c>
      <c r="T147" s="5">
        <v>-71.017563120000005</v>
      </c>
    </row>
    <row r="148" spans="1:20" x14ac:dyDescent="0.3">
      <c r="A148" s="5" t="s">
        <v>653</v>
      </c>
      <c r="B148" s="6">
        <v>14661</v>
      </c>
      <c r="C148" s="6" t="str">
        <f t="shared" si="43"/>
        <v>Active/Unavailable</v>
      </c>
      <c r="D148" s="5" t="s">
        <v>29</v>
      </c>
      <c r="E148" s="5" t="s">
        <v>654</v>
      </c>
      <c r="F148" s="5" t="s">
        <v>149</v>
      </c>
      <c r="G148" s="5" t="str">
        <f t="shared" si="27"/>
        <v>Not Available</v>
      </c>
      <c r="H148" s="5" t="str">
        <f t="shared" si="42"/>
        <v>Not Available</v>
      </c>
      <c r="I148" s="5" t="s">
        <v>22</v>
      </c>
      <c r="J148" s="5" t="s">
        <v>3387</v>
      </c>
      <c r="K148" s="5" t="s">
        <v>3393</v>
      </c>
      <c r="L148" s="5" t="s">
        <v>22</v>
      </c>
      <c r="M148" s="5" t="s">
        <v>3438</v>
      </c>
      <c r="N148" s="5" t="s">
        <v>655</v>
      </c>
      <c r="O148" s="5" t="s">
        <v>33</v>
      </c>
      <c r="P148" s="5" t="s">
        <v>26</v>
      </c>
      <c r="Q148" s="5" t="s">
        <v>34</v>
      </c>
      <c r="R148" s="5">
        <v>2124</v>
      </c>
      <c r="S148" s="5">
        <v>42.403226288911</v>
      </c>
      <c r="T148" s="5">
        <v>-71.002190299999995</v>
      </c>
    </row>
    <row r="149" spans="1:20" x14ac:dyDescent="0.3">
      <c r="A149" s="5" t="s">
        <v>656</v>
      </c>
      <c r="B149" s="6">
        <v>10612</v>
      </c>
      <c r="C149" s="6" t="str">
        <f t="shared" si="43"/>
        <v>Active/Unavailable</v>
      </c>
      <c r="D149" s="5" t="s">
        <v>29</v>
      </c>
      <c r="E149" s="5" t="s">
        <v>657</v>
      </c>
      <c r="F149" s="5" t="s">
        <v>212</v>
      </c>
      <c r="G149" s="5" t="str">
        <f t="shared" si="27"/>
        <v>Not Available</v>
      </c>
      <c r="H149" s="5" t="str">
        <f t="shared" si="42"/>
        <v>Not Available</v>
      </c>
      <c r="I149" s="5" t="s">
        <v>22</v>
      </c>
      <c r="J149" s="5" t="s">
        <v>3388</v>
      </c>
      <c r="K149" s="5" t="s">
        <v>3393</v>
      </c>
      <c r="L149" s="5" t="s">
        <v>22</v>
      </c>
      <c r="M149" s="5" t="s">
        <v>3400</v>
      </c>
      <c r="N149" s="5" t="s">
        <v>658</v>
      </c>
      <c r="O149" s="5" t="s">
        <v>56</v>
      </c>
      <c r="P149" s="5" t="s">
        <v>26</v>
      </c>
      <c r="Q149" s="5" t="s">
        <v>57</v>
      </c>
      <c r="R149" s="5">
        <v>2138</v>
      </c>
      <c r="S149" s="5">
        <v>42.349221263393503</v>
      </c>
      <c r="T149" s="5">
        <v>-71.046924099999998</v>
      </c>
    </row>
    <row r="150" spans="1:20" x14ac:dyDescent="0.3">
      <c r="A150" s="5" t="s">
        <v>659</v>
      </c>
      <c r="B150" s="6">
        <v>18153</v>
      </c>
      <c r="C150" s="6" t="str">
        <f t="shared" si="43"/>
        <v>Active/Unavailable</v>
      </c>
      <c r="D150" s="5" t="s">
        <v>29</v>
      </c>
      <c r="E150" s="5" t="s">
        <v>660</v>
      </c>
      <c r="F150" s="5" t="s">
        <v>661</v>
      </c>
      <c r="G150" s="5" t="str">
        <f t="shared" si="27"/>
        <v>Not Available</v>
      </c>
      <c r="H150" s="5" t="str">
        <f t="shared" si="42"/>
        <v>Not Available</v>
      </c>
      <c r="I150" s="5" t="s">
        <v>22</v>
      </c>
      <c r="J150" s="5" t="s">
        <v>3389</v>
      </c>
      <c r="K150" s="5" t="s">
        <v>3394</v>
      </c>
      <c r="L150" s="5" t="s">
        <v>22</v>
      </c>
      <c r="M150" s="5" t="s">
        <v>3495</v>
      </c>
      <c r="N150" s="5" t="s">
        <v>662</v>
      </c>
      <c r="O150" s="5" t="s">
        <v>108</v>
      </c>
      <c r="P150" s="5" t="s">
        <v>26</v>
      </c>
      <c r="Q150" s="5" t="s">
        <v>34</v>
      </c>
      <c r="R150" s="5" t="str">
        <f>"0000"</f>
        <v>0000</v>
      </c>
      <c r="S150" s="5">
        <v>42.3993149108138</v>
      </c>
      <c r="T150" s="5">
        <v>-70.962378760000007</v>
      </c>
    </row>
    <row r="151" spans="1:20" x14ac:dyDescent="0.3">
      <c r="A151" s="5" t="s">
        <v>663</v>
      </c>
      <c r="B151" s="6">
        <v>8542</v>
      </c>
      <c r="C151" s="6">
        <v>44200</v>
      </c>
      <c r="D151" s="5" t="s">
        <v>29</v>
      </c>
      <c r="E151" s="5" t="s">
        <v>664</v>
      </c>
      <c r="F151" s="5" t="s">
        <v>665</v>
      </c>
      <c r="G151" s="5" t="str">
        <f t="shared" ref="G151:G214" si="44">"Not Available"</f>
        <v>Not Available</v>
      </c>
      <c r="H151" s="5" t="str">
        <f t="shared" si="42"/>
        <v>Not Available</v>
      </c>
      <c r="I151" s="5" t="s">
        <v>22</v>
      </c>
      <c r="J151" s="5" t="s">
        <v>3387</v>
      </c>
      <c r="K151" s="5" t="s">
        <v>3393</v>
      </c>
      <c r="L151" s="5" t="s">
        <v>22</v>
      </c>
      <c r="M151" s="5" t="s">
        <v>3402</v>
      </c>
      <c r="N151" s="5" t="s">
        <v>666</v>
      </c>
      <c r="O151" s="5" t="s">
        <v>33</v>
      </c>
      <c r="P151" s="5" t="s">
        <v>26</v>
      </c>
      <c r="Q151" s="5" t="s">
        <v>34</v>
      </c>
      <c r="R151" s="5">
        <v>2121</v>
      </c>
      <c r="S151" s="5">
        <v>42.362921494927001</v>
      </c>
      <c r="T151" s="5">
        <v>-71.013067390000003</v>
      </c>
    </row>
    <row r="152" spans="1:20" x14ac:dyDescent="0.3">
      <c r="A152" s="5" t="s">
        <v>667</v>
      </c>
      <c r="B152" s="6">
        <v>10779</v>
      </c>
      <c r="C152" s="6" t="str">
        <f t="shared" ref="C152:C153" si="45">"Active/Unavailable"</f>
        <v>Active/Unavailable</v>
      </c>
      <c r="D152" s="5" t="s">
        <v>29</v>
      </c>
      <c r="E152" s="5" t="s">
        <v>668</v>
      </c>
      <c r="F152" s="5" t="s">
        <v>669</v>
      </c>
      <c r="G152" s="5" t="str">
        <f t="shared" si="44"/>
        <v>Not Available</v>
      </c>
      <c r="H152" s="5" t="str">
        <f t="shared" si="42"/>
        <v>Not Available</v>
      </c>
      <c r="I152" s="5" t="s">
        <v>65</v>
      </c>
      <c r="J152" s="5" t="s">
        <v>3389</v>
      </c>
      <c r="K152" s="5" t="s">
        <v>3393</v>
      </c>
      <c r="L152" s="5" t="s">
        <v>22</v>
      </c>
      <c r="M152" s="5" t="s">
        <v>3496</v>
      </c>
      <c r="N152" s="5" t="s">
        <v>670</v>
      </c>
      <c r="O152" s="5" t="s">
        <v>33</v>
      </c>
      <c r="P152" s="5" t="s">
        <v>26</v>
      </c>
      <c r="Q152" s="5" t="s">
        <v>34</v>
      </c>
      <c r="R152" s="5">
        <v>2199</v>
      </c>
      <c r="S152" s="5">
        <v>42.312172536957704</v>
      </c>
      <c r="T152" s="5">
        <v>-71.065729410000003</v>
      </c>
    </row>
    <row r="153" spans="1:20" x14ac:dyDescent="0.3">
      <c r="A153" s="5" t="s">
        <v>671</v>
      </c>
      <c r="B153" s="6">
        <v>11475</v>
      </c>
      <c r="C153" s="6" t="str">
        <f t="shared" si="45"/>
        <v>Active/Unavailable</v>
      </c>
      <c r="D153" s="5" t="s">
        <v>29</v>
      </c>
      <c r="E153" s="5" t="s">
        <v>672</v>
      </c>
      <c r="F153" s="5" t="s">
        <v>673</v>
      </c>
      <c r="G153" s="5" t="str">
        <f t="shared" si="44"/>
        <v>Not Available</v>
      </c>
      <c r="H153" s="5" t="str">
        <f t="shared" si="42"/>
        <v>Not Available</v>
      </c>
      <c r="I153" s="5" t="s">
        <v>22</v>
      </c>
      <c r="J153" s="5" t="s">
        <v>3389</v>
      </c>
      <c r="K153" s="5" t="s">
        <v>3394</v>
      </c>
      <c r="L153" s="5" t="s">
        <v>22</v>
      </c>
      <c r="M153" s="5" t="s">
        <v>3479</v>
      </c>
      <c r="N153" s="5" t="s">
        <v>674</v>
      </c>
      <c r="O153" s="5" t="s">
        <v>33</v>
      </c>
      <c r="P153" s="5" t="s">
        <v>26</v>
      </c>
      <c r="Q153" s="5" t="s">
        <v>34</v>
      </c>
      <c r="R153" s="5">
        <v>2131</v>
      </c>
      <c r="S153" s="5">
        <v>42.343878284517501</v>
      </c>
      <c r="T153" s="5">
        <v>-71.016742170000001</v>
      </c>
    </row>
    <row r="154" spans="1:20" x14ac:dyDescent="0.3">
      <c r="A154" s="5" t="s">
        <v>675</v>
      </c>
      <c r="B154" s="6">
        <v>26985</v>
      </c>
      <c r="C154" s="6">
        <v>43149</v>
      </c>
      <c r="D154" s="5" t="s">
        <v>18</v>
      </c>
      <c r="E154" s="5" t="s">
        <v>676</v>
      </c>
      <c r="F154" s="5" t="s">
        <v>630</v>
      </c>
      <c r="G154" s="5" t="str">
        <f t="shared" si="44"/>
        <v>Not Available</v>
      </c>
      <c r="H154" s="5" t="s">
        <v>677</v>
      </c>
      <c r="I154" s="5" t="s">
        <v>22</v>
      </c>
      <c r="J154" s="5" t="s">
        <v>3387</v>
      </c>
      <c r="K154" s="5" t="s">
        <v>3393</v>
      </c>
      <c r="L154" s="5" t="s">
        <v>23</v>
      </c>
      <c r="M154" s="5" t="s">
        <v>3406</v>
      </c>
      <c r="N154" s="5" t="s">
        <v>678</v>
      </c>
      <c r="O154" s="5" t="s">
        <v>679</v>
      </c>
      <c r="P154" s="5" t="s">
        <v>26</v>
      </c>
      <c r="Q154" s="5" t="s">
        <v>317</v>
      </c>
      <c r="R154" s="5">
        <v>2045</v>
      </c>
      <c r="S154" s="5">
        <v>42.2572533459388</v>
      </c>
      <c r="T154" s="5">
        <v>-70.913120879999994</v>
      </c>
    </row>
    <row r="155" spans="1:20" x14ac:dyDescent="0.3">
      <c r="A155" s="5" t="s">
        <v>680</v>
      </c>
      <c r="B155" s="6">
        <v>26985</v>
      </c>
      <c r="C155" s="6" t="str">
        <f t="shared" ref="C155:C159" si="46">"Active/Unavailable"</f>
        <v>Active/Unavailable</v>
      </c>
      <c r="D155" s="5" t="s">
        <v>18</v>
      </c>
      <c r="E155" s="5" t="s">
        <v>681</v>
      </c>
      <c r="F155" s="5" t="s">
        <v>3361</v>
      </c>
      <c r="G155" s="5" t="str">
        <f t="shared" si="44"/>
        <v>Not Available</v>
      </c>
      <c r="H155" s="5" t="s">
        <v>683</v>
      </c>
      <c r="I155" s="5" t="s">
        <v>22</v>
      </c>
      <c r="J155" s="5" t="s">
        <v>3387</v>
      </c>
      <c r="K155" s="5" t="s">
        <v>3393</v>
      </c>
      <c r="L155" s="5" t="s">
        <v>23</v>
      </c>
      <c r="M155" s="5" t="s">
        <v>3497</v>
      </c>
      <c r="N155" s="5" t="s">
        <v>684</v>
      </c>
      <c r="O155" s="5" t="s">
        <v>679</v>
      </c>
      <c r="P155" s="5" t="s">
        <v>26</v>
      </c>
      <c r="Q155" s="5" t="s">
        <v>317</v>
      </c>
      <c r="R155" s="5">
        <v>2045</v>
      </c>
      <c r="S155" s="5">
        <v>42.323718021560502</v>
      </c>
      <c r="T155" s="5">
        <v>-70.848196680000001</v>
      </c>
    </row>
    <row r="156" spans="1:20" x14ac:dyDescent="0.3">
      <c r="A156" s="5" t="s">
        <v>685</v>
      </c>
      <c r="B156" s="6">
        <v>22975</v>
      </c>
      <c r="C156" s="6" t="str">
        <f t="shared" si="46"/>
        <v>Active/Unavailable</v>
      </c>
      <c r="D156" s="5" t="s">
        <v>29</v>
      </c>
      <c r="E156" s="5" t="s">
        <v>686</v>
      </c>
      <c r="F156" s="5" t="s">
        <v>687</v>
      </c>
      <c r="G156" s="5" t="str">
        <f t="shared" si="44"/>
        <v>Not Available</v>
      </c>
      <c r="H156" s="5" t="str">
        <f>"Not Available"</f>
        <v>Not Available</v>
      </c>
      <c r="I156" s="5" t="s">
        <v>65</v>
      </c>
      <c r="J156" s="5" t="s">
        <v>3387</v>
      </c>
      <c r="K156" s="5" t="s">
        <v>3393</v>
      </c>
      <c r="L156" s="5" t="s">
        <v>22</v>
      </c>
      <c r="M156" s="5" t="s">
        <v>3498</v>
      </c>
      <c r="N156" s="5" t="s">
        <v>688</v>
      </c>
      <c r="O156" s="5" t="s">
        <v>316</v>
      </c>
      <c r="P156" s="5" t="s">
        <v>26</v>
      </c>
      <c r="Q156" s="5" t="s">
        <v>317</v>
      </c>
      <c r="R156" s="5" t="str">
        <f>"0000"</f>
        <v>0000</v>
      </c>
      <c r="S156" s="5">
        <v>42.2083083758301</v>
      </c>
      <c r="T156" s="5">
        <v>-70.866498179999994</v>
      </c>
    </row>
    <row r="157" spans="1:20" x14ac:dyDescent="0.3">
      <c r="A157" s="5" t="s">
        <v>689</v>
      </c>
      <c r="B157" s="6">
        <v>16875</v>
      </c>
      <c r="C157" s="6" t="str">
        <f t="shared" si="46"/>
        <v>Active/Unavailable</v>
      </c>
      <c r="D157" s="5" t="s">
        <v>18</v>
      </c>
      <c r="E157" s="5" t="s">
        <v>690</v>
      </c>
      <c r="F157" s="5" t="s">
        <v>78</v>
      </c>
      <c r="G157" s="5" t="str">
        <f t="shared" si="44"/>
        <v>Not Available</v>
      </c>
      <c r="H157" s="5" t="s">
        <v>295</v>
      </c>
      <c r="I157" s="5" t="s">
        <v>22</v>
      </c>
      <c r="J157" s="5" t="s">
        <v>3387</v>
      </c>
      <c r="K157" s="5" t="s">
        <v>3394</v>
      </c>
      <c r="L157" s="5" t="s">
        <v>23</v>
      </c>
      <c r="M157" s="5" t="s">
        <v>3415</v>
      </c>
      <c r="N157" s="5" t="s">
        <v>691</v>
      </c>
      <c r="O157" s="5" t="s">
        <v>33</v>
      </c>
      <c r="P157" s="5" t="s">
        <v>26</v>
      </c>
      <c r="Q157" s="5" t="s">
        <v>34</v>
      </c>
      <c r="R157" s="5">
        <v>2136</v>
      </c>
      <c r="S157" s="5">
        <v>42.286023948749303</v>
      </c>
      <c r="T157" s="5">
        <v>-71.031508259999995</v>
      </c>
    </row>
    <row r="158" spans="1:20" x14ac:dyDescent="0.3">
      <c r="A158" s="5" t="s">
        <v>692</v>
      </c>
      <c r="B158" s="6">
        <v>13752</v>
      </c>
      <c r="C158" s="6" t="str">
        <f t="shared" si="46"/>
        <v>Active/Unavailable</v>
      </c>
      <c r="D158" s="5" t="s">
        <v>18</v>
      </c>
      <c r="E158" s="5" t="s">
        <v>693</v>
      </c>
      <c r="F158" s="5" t="s">
        <v>438</v>
      </c>
      <c r="G158" s="5" t="str">
        <f t="shared" si="44"/>
        <v>Not Available</v>
      </c>
      <c r="H158" s="5" t="s">
        <v>694</v>
      </c>
      <c r="I158" s="5" t="s">
        <v>22</v>
      </c>
      <c r="J158" s="5" t="s">
        <v>3387</v>
      </c>
      <c r="K158" s="5" t="s">
        <v>3393</v>
      </c>
      <c r="L158" s="5" t="s">
        <v>23</v>
      </c>
      <c r="M158" s="5" t="s">
        <v>3499</v>
      </c>
      <c r="N158" s="5" t="s">
        <v>695</v>
      </c>
      <c r="O158" s="5" t="s">
        <v>25</v>
      </c>
      <c r="P158" s="5" t="s">
        <v>26</v>
      </c>
      <c r="Q158" s="5" t="s">
        <v>27</v>
      </c>
      <c r="R158" s="5">
        <v>2170</v>
      </c>
      <c r="S158" s="5">
        <v>42.267854039952901</v>
      </c>
      <c r="T158" s="5">
        <v>-70.971347989999998</v>
      </c>
    </row>
    <row r="159" spans="1:20" x14ac:dyDescent="0.3">
      <c r="A159" s="5" t="s">
        <v>696</v>
      </c>
      <c r="B159" s="6">
        <v>26773</v>
      </c>
      <c r="C159" s="6" t="str">
        <f t="shared" si="46"/>
        <v>Active/Unavailable</v>
      </c>
      <c r="D159" s="5" t="s">
        <v>29</v>
      </c>
      <c r="E159" s="5" t="s">
        <v>697</v>
      </c>
      <c r="F159" s="5" t="s">
        <v>698</v>
      </c>
      <c r="G159" s="5" t="str">
        <f t="shared" si="44"/>
        <v>Not Available</v>
      </c>
      <c r="H159" s="5" t="str">
        <f t="shared" ref="H159:H161" si="47">"Not Available"</f>
        <v>Not Available</v>
      </c>
      <c r="I159" s="5" t="s">
        <v>65</v>
      </c>
      <c r="J159" s="5" t="s">
        <v>3388</v>
      </c>
      <c r="K159" s="5" t="s">
        <v>3393</v>
      </c>
      <c r="L159" s="5" t="s">
        <v>22</v>
      </c>
      <c r="M159" s="5" t="s">
        <v>3500</v>
      </c>
      <c r="N159" s="5" t="s">
        <v>699</v>
      </c>
      <c r="O159" s="5" t="s">
        <v>33</v>
      </c>
      <c r="P159" s="5" t="s">
        <v>26</v>
      </c>
      <c r="Q159" s="5" t="s">
        <v>34</v>
      </c>
      <c r="R159" s="5" t="str">
        <f>"0000"</f>
        <v>0000</v>
      </c>
      <c r="S159" s="5">
        <v>42.399129781638003</v>
      </c>
      <c r="T159" s="5">
        <v>-71.004484550000001</v>
      </c>
    </row>
    <row r="160" spans="1:20" x14ac:dyDescent="0.3">
      <c r="A160" s="5" t="s">
        <v>700</v>
      </c>
      <c r="B160" s="6">
        <v>30172</v>
      </c>
      <c r="C160" s="6">
        <v>42721</v>
      </c>
      <c r="D160" s="5" t="s">
        <v>100</v>
      </c>
      <c r="E160" s="5" t="s">
        <v>701</v>
      </c>
      <c r="F160" s="5" t="s">
        <v>702</v>
      </c>
      <c r="G160" s="5" t="str">
        <f t="shared" si="44"/>
        <v>Not Available</v>
      </c>
      <c r="H160" s="5" t="str">
        <f t="shared" si="47"/>
        <v>Not Available</v>
      </c>
      <c r="I160" s="5" t="s">
        <v>65</v>
      </c>
      <c r="J160" s="5" t="s">
        <v>3387</v>
      </c>
      <c r="K160" s="5" t="s">
        <v>3393</v>
      </c>
      <c r="L160" s="5" t="s">
        <v>23</v>
      </c>
      <c r="M160" s="5" t="s">
        <v>3501</v>
      </c>
      <c r="N160" s="5" t="s">
        <v>703</v>
      </c>
      <c r="O160" s="5" t="s">
        <v>172</v>
      </c>
      <c r="P160" s="5" t="s">
        <v>26</v>
      </c>
      <c r="Q160" s="5" t="s">
        <v>34</v>
      </c>
      <c r="R160" s="5">
        <v>2149</v>
      </c>
      <c r="S160" s="5">
        <v>42.361683982682301</v>
      </c>
      <c r="T160" s="5">
        <v>-71.054801879999999</v>
      </c>
    </row>
    <row r="161" spans="1:20" x14ac:dyDescent="0.3">
      <c r="A161" s="5" t="s">
        <v>704</v>
      </c>
      <c r="B161" s="6">
        <v>28046</v>
      </c>
      <c r="C161" s="6" t="str">
        <f t="shared" ref="C161:C165" si="48">"Active/Unavailable"</f>
        <v>Active/Unavailable</v>
      </c>
      <c r="D161" s="5" t="s">
        <v>29</v>
      </c>
      <c r="E161" s="5" t="s">
        <v>433</v>
      </c>
      <c r="F161" s="5" t="s">
        <v>705</v>
      </c>
      <c r="G161" s="5" t="str">
        <f t="shared" si="44"/>
        <v>Not Available</v>
      </c>
      <c r="H161" s="5" t="str">
        <f t="shared" si="47"/>
        <v>Not Available</v>
      </c>
      <c r="I161" s="5" t="s">
        <v>22</v>
      </c>
      <c r="J161" s="5" t="s">
        <v>3389</v>
      </c>
      <c r="K161" s="5" t="s">
        <v>3393</v>
      </c>
      <c r="L161" s="5" t="s">
        <v>22</v>
      </c>
      <c r="M161" s="5" t="s">
        <v>3400</v>
      </c>
      <c r="N161" s="5" t="s">
        <v>706</v>
      </c>
      <c r="O161" s="5" t="s">
        <v>33</v>
      </c>
      <c r="P161" s="5" t="s">
        <v>26</v>
      </c>
      <c r="Q161" s="5" t="s">
        <v>34</v>
      </c>
      <c r="R161" s="5">
        <v>2119</v>
      </c>
      <c r="S161" s="5">
        <v>42.343388507938201</v>
      </c>
      <c r="T161" s="5">
        <v>-71.043170570000001</v>
      </c>
    </row>
    <row r="162" spans="1:20" x14ac:dyDescent="0.3">
      <c r="A162" s="5" t="s">
        <v>707</v>
      </c>
      <c r="B162" s="6">
        <v>30172</v>
      </c>
      <c r="C162" s="6" t="str">
        <f t="shared" si="48"/>
        <v>Active/Unavailable</v>
      </c>
      <c r="D162" s="5" t="s">
        <v>18</v>
      </c>
      <c r="E162" s="5" t="s">
        <v>708</v>
      </c>
      <c r="F162" s="5" t="s">
        <v>537</v>
      </c>
      <c r="G162" s="5" t="str">
        <f t="shared" si="44"/>
        <v>Not Available</v>
      </c>
      <c r="H162" s="5" t="s">
        <v>709</v>
      </c>
      <c r="I162" s="5" t="s">
        <v>22</v>
      </c>
      <c r="J162" s="5" t="s">
        <v>3387</v>
      </c>
      <c r="K162" s="5" t="s">
        <v>3393</v>
      </c>
      <c r="L162" s="5" t="s">
        <v>23</v>
      </c>
      <c r="M162" s="5" t="s">
        <v>3502</v>
      </c>
      <c r="N162" s="5" t="s">
        <v>710</v>
      </c>
      <c r="O162" s="5" t="s">
        <v>172</v>
      </c>
      <c r="P162" s="5" t="s">
        <v>26</v>
      </c>
      <c r="Q162" s="5" t="s">
        <v>34</v>
      </c>
      <c r="R162" s="5" t="str">
        <f>"0000"</f>
        <v>0000</v>
      </c>
      <c r="S162" s="5">
        <v>42.373912854558</v>
      </c>
      <c r="T162" s="5">
        <v>-71.045624700000005</v>
      </c>
    </row>
    <row r="163" spans="1:20" x14ac:dyDescent="0.3">
      <c r="A163" s="5" t="s">
        <v>711</v>
      </c>
      <c r="B163" s="6">
        <v>10224</v>
      </c>
      <c r="C163" s="6" t="str">
        <f t="shared" si="48"/>
        <v>Active/Unavailable</v>
      </c>
      <c r="D163" s="5" t="s">
        <v>18</v>
      </c>
      <c r="E163" s="5" t="s">
        <v>712</v>
      </c>
      <c r="F163" s="5" t="s">
        <v>713</v>
      </c>
      <c r="G163" s="5" t="str">
        <f t="shared" si="44"/>
        <v>Not Available</v>
      </c>
      <c r="H163" s="5" t="s">
        <v>714</v>
      </c>
      <c r="I163" s="5" t="s">
        <v>22</v>
      </c>
      <c r="J163" s="5" t="s">
        <v>3387</v>
      </c>
      <c r="K163" s="5" t="s">
        <v>3393</v>
      </c>
      <c r="L163" s="5" t="s">
        <v>23</v>
      </c>
      <c r="M163" s="5" t="s">
        <v>3400</v>
      </c>
      <c r="N163" s="5" t="s">
        <v>715</v>
      </c>
      <c r="O163" s="5" t="s">
        <v>33</v>
      </c>
      <c r="P163" s="5" t="s">
        <v>26</v>
      </c>
      <c r="Q163" s="5" t="s">
        <v>34</v>
      </c>
      <c r="R163" s="5">
        <v>2108</v>
      </c>
      <c r="S163" s="5">
        <v>42.365829081587101</v>
      </c>
      <c r="T163" s="5">
        <v>-71.066399259999997</v>
      </c>
    </row>
    <row r="164" spans="1:20" x14ac:dyDescent="0.3">
      <c r="A164" s="5" t="s">
        <v>716</v>
      </c>
      <c r="B164" s="6">
        <v>23798</v>
      </c>
      <c r="C164" s="6" t="str">
        <f t="shared" si="48"/>
        <v>Active/Unavailable</v>
      </c>
      <c r="D164" s="5" t="s">
        <v>18</v>
      </c>
      <c r="E164" s="5" t="s">
        <v>717</v>
      </c>
      <c r="F164" s="5" t="s">
        <v>31</v>
      </c>
      <c r="G164" s="5" t="str">
        <f t="shared" si="44"/>
        <v>Not Available</v>
      </c>
      <c r="H164" s="5" t="s">
        <v>718</v>
      </c>
      <c r="I164" s="5" t="s">
        <v>22</v>
      </c>
      <c r="J164" s="5" t="s">
        <v>3387</v>
      </c>
      <c r="K164" s="5" t="s">
        <v>3393</v>
      </c>
      <c r="L164" s="5" t="s">
        <v>23</v>
      </c>
      <c r="M164" s="5" t="s">
        <v>3503</v>
      </c>
      <c r="N164" s="5" t="s">
        <v>719</v>
      </c>
      <c r="O164" s="5" t="s">
        <v>316</v>
      </c>
      <c r="P164" s="5" t="s">
        <v>26</v>
      </c>
      <c r="Q164" s="5" t="s">
        <v>317</v>
      </c>
      <c r="R164" s="5" t="str">
        <f>"0000"</f>
        <v>0000</v>
      </c>
      <c r="S164" s="5">
        <v>42.243997569999998</v>
      </c>
      <c r="T164" s="5">
        <v>-70.871557069999994</v>
      </c>
    </row>
    <row r="165" spans="1:20" x14ac:dyDescent="0.3">
      <c r="A165" s="5" t="s">
        <v>720</v>
      </c>
      <c r="B165" s="6">
        <v>16052</v>
      </c>
      <c r="C165" s="6" t="str">
        <f t="shared" si="48"/>
        <v>Active/Unavailable</v>
      </c>
      <c r="D165" s="5" t="s">
        <v>18</v>
      </c>
      <c r="E165" s="5" t="s">
        <v>721</v>
      </c>
      <c r="F165" s="5" t="s">
        <v>722</v>
      </c>
      <c r="G165" s="5" t="str">
        <f t="shared" si="44"/>
        <v>Not Available</v>
      </c>
      <c r="H165" s="5" t="s">
        <v>723</v>
      </c>
      <c r="I165" s="5" t="s">
        <v>22</v>
      </c>
      <c r="J165" s="5" t="s">
        <v>3387</v>
      </c>
      <c r="K165" s="5" t="s">
        <v>3394</v>
      </c>
      <c r="L165" s="5" t="s">
        <v>23</v>
      </c>
      <c r="M165" s="5" t="s">
        <v>3504</v>
      </c>
      <c r="N165" s="5" t="s">
        <v>724</v>
      </c>
      <c r="O165" s="5" t="s">
        <v>33</v>
      </c>
      <c r="P165" s="5" t="s">
        <v>26</v>
      </c>
      <c r="Q165" s="5" t="s">
        <v>34</v>
      </c>
      <c r="R165" s="5">
        <v>2131</v>
      </c>
      <c r="S165" s="5">
        <v>42.343940830136702</v>
      </c>
      <c r="T165" s="5">
        <v>-70.996147609999994</v>
      </c>
    </row>
    <row r="166" spans="1:20" x14ac:dyDescent="0.3">
      <c r="A166" s="5" t="s">
        <v>725</v>
      </c>
      <c r="B166" s="6">
        <v>8573</v>
      </c>
      <c r="C166" s="6">
        <v>43275</v>
      </c>
      <c r="D166" s="5" t="s">
        <v>18</v>
      </c>
      <c r="E166" s="5" t="s">
        <v>726</v>
      </c>
      <c r="F166" s="5" t="s">
        <v>727</v>
      </c>
      <c r="G166" s="5" t="str">
        <f t="shared" si="44"/>
        <v>Not Available</v>
      </c>
      <c r="H166" s="5" t="s">
        <v>379</v>
      </c>
      <c r="I166" s="5" t="s">
        <v>22</v>
      </c>
      <c r="J166" s="5" t="s">
        <v>3387</v>
      </c>
      <c r="K166" s="5" t="s">
        <v>3394</v>
      </c>
      <c r="L166" s="5" t="s">
        <v>23</v>
      </c>
      <c r="M166" s="5" t="s">
        <v>3475</v>
      </c>
      <c r="N166" s="5" t="s">
        <v>728</v>
      </c>
      <c r="O166" s="5" t="s">
        <v>33</v>
      </c>
      <c r="P166" s="5" t="s">
        <v>26</v>
      </c>
      <c r="Q166" s="5" t="s">
        <v>34</v>
      </c>
      <c r="R166" s="5">
        <v>2118</v>
      </c>
      <c r="S166" s="5">
        <v>42.316384472277598</v>
      </c>
      <c r="T166" s="5">
        <v>-71.039502260000006</v>
      </c>
    </row>
    <row r="167" spans="1:20" x14ac:dyDescent="0.3">
      <c r="A167" s="5" t="s">
        <v>729</v>
      </c>
      <c r="B167" s="6">
        <v>13879</v>
      </c>
      <c r="C167" s="6" t="str">
        <f t="shared" ref="C167:C176" si="49">"Active/Unavailable"</f>
        <v>Active/Unavailable</v>
      </c>
      <c r="D167" s="5" t="s">
        <v>29</v>
      </c>
      <c r="E167" s="5" t="s">
        <v>730</v>
      </c>
      <c r="F167" s="5" t="s">
        <v>731</v>
      </c>
      <c r="G167" s="5" t="str">
        <f t="shared" si="44"/>
        <v>Not Available</v>
      </c>
      <c r="H167" s="5" t="str">
        <f t="shared" ref="H167:H168" si="50">"Not Available"</f>
        <v>Not Available</v>
      </c>
      <c r="I167" s="5" t="s">
        <v>22</v>
      </c>
      <c r="J167" s="5" t="s">
        <v>3387</v>
      </c>
      <c r="K167" s="5" t="s">
        <v>3393</v>
      </c>
      <c r="L167" s="5" t="s">
        <v>22</v>
      </c>
      <c r="M167" s="5" t="s">
        <v>3505</v>
      </c>
      <c r="N167" s="5" t="s">
        <v>732</v>
      </c>
      <c r="O167" s="5" t="s">
        <v>88</v>
      </c>
      <c r="P167" s="5" t="s">
        <v>26</v>
      </c>
      <c r="Q167" s="5" t="s">
        <v>57</v>
      </c>
      <c r="R167" s="5">
        <v>2143</v>
      </c>
      <c r="S167" s="5">
        <v>42.380819789653202</v>
      </c>
      <c r="T167" s="5">
        <v>-71.097932630000003</v>
      </c>
    </row>
    <row r="168" spans="1:20" x14ac:dyDescent="0.3">
      <c r="A168" s="5" t="s">
        <v>733</v>
      </c>
      <c r="B168" s="6">
        <v>28234</v>
      </c>
      <c r="C168" s="6" t="str">
        <f t="shared" si="49"/>
        <v>Active/Unavailable</v>
      </c>
      <c r="D168" s="5" t="s">
        <v>29</v>
      </c>
      <c r="E168" s="5" t="s">
        <v>734</v>
      </c>
      <c r="F168" s="5" t="s">
        <v>3360</v>
      </c>
      <c r="G168" s="5" t="str">
        <f t="shared" si="44"/>
        <v>Not Available</v>
      </c>
      <c r="H168" s="5" t="str">
        <f t="shared" si="50"/>
        <v>Not Available</v>
      </c>
      <c r="I168" s="5" t="s">
        <v>22</v>
      </c>
      <c r="J168" s="5" t="s">
        <v>3388</v>
      </c>
      <c r="K168" s="5" t="s">
        <v>3394</v>
      </c>
      <c r="L168" s="5" t="s">
        <v>22</v>
      </c>
      <c r="M168" s="5" t="s">
        <v>3412</v>
      </c>
      <c r="N168" s="5" t="s">
        <v>735</v>
      </c>
      <c r="O168" s="5" t="s">
        <v>33</v>
      </c>
      <c r="P168" s="5" t="s">
        <v>26</v>
      </c>
      <c r="Q168" s="5" t="s">
        <v>34</v>
      </c>
      <c r="R168" s="5">
        <v>2113</v>
      </c>
      <c r="S168" s="5">
        <v>42.377185224038797</v>
      </c>
      <c r="T168" s="5">
        <v>-71.042734280000005</v>
      </c>
    </row>
    <row r="169" spans="1:20" x14ac:dyDescent="0.3">
      <c r="A169" s="5" t="s">
        <v>736</v>
      </c>
      <c r="B169" s="6">
        <v>31302</v>
      </c>
      <c r="C169" s="6" t="str">
        <f t="shared" si="49"/>
        <v>Active/Unavailable</v>
      </c>
      <c r="D169" s="5" t="s">
        <v>18</v>
      </c>
      <c r="E169" s="5" t="s">
        <v>737</v>
      </c>
      <c r="F169" s="5" t="s">
        <v>738</v>
      </c>
      <c r="G169" s="5" t="str">
        <f t="shared" si="44"/>
        <v>Not Available</v>
      </c>
      <c r="H169" s="5" t="s">
        <v>198</v>
      </c>
      <c r="I169" s="5" t="s">
        <v>22</v>
      </c>
      <c r="J169" s="5" t="s">
        <v>3389</v>
      </c>
      <c r="K169" s="5" t="s">
        <v>3394</v>
      </c>
      <c r="L169" s="5" t="s">
        <v>23</v>
      </c>
      <c r="M169" s="5" t="s">
        <v>3411</v>
      </c>
      <c r="N169" s="5" t="s">
        <v>739</v>
      </c>
      <c r="O169" s="5" t="s">
        <v>33</v>
      </c>
      <c r="P169" s="5" t="s">
        <v>26</v>
      </c>
      <c r="Q169" s="5" t="s">
        <v>34</v>
      </c>
      <c r="R169" s="5">
        <v>2122</v>
      </c>
      <c r="S169" s="5">
        <v>42.320943501857499</v>
      </c>
      <c r="T169" s="5">
        <v>-71.081086479999996</v>
      </c>
    </row>
    <row r="170" spans="1:20" x14ac:dyDescent="0.3">
      <c r="A170" s="5" t="s">
        <v>740</v>
      </c>
      <c r="B170" s="6">
        <v>26916</v>
      </c>
      <c r="C170" s="6" t="str">
        <f t="shared" si="49"/>
        <v>Active/Unavailable</v>
      </c>
      <c r="D170" s="5" t="s">
        <v>29</v>
      </c>
      <c r="E170" s="5" t="s">
        <v>741</v>
      </c>
      <c r="F170" s="5" t="s">
        <v>742</v>
      </c>
      <c r="G170" s="5" t="str">
        <f t="shared" si="44"/>
        <v>Not Available</v>
      </c>
      <c r="H170" s="5" t="str">
        <f t="shared" ref="H170:H174" si="51">"Not Available"</f>
        <v>Not Available</v>
      </c>
      <c r="I170" s="5" t="s">
        <v>22</v>
      </c>
      <c r="J170" s="5" t="s">
        <v>3389</v>
      </c>
      <c r="K170" s="5" t="s">
        <v>3394</v>
      </c>
      <c r="L170" s="5" t="s">
        <v>22</v>
      </c>
      <c r="M170" s="5" t="s">
        <v>3439</v>
      </c>
      <c r="N170" s="5" t="s">
        <v>743</v>
      </c>
      <c r="O170" s="5" t="s">
        <v>486</v>
      </c>
      <c r="P170" s="5" t="s">
        <v>26</v>
      </c>
      <c r="Q170" s="5" t="s">
        <v>34</v>
      </c>
      <c r="R170" s="5">
        <v>2152</v>
      </c>
      <c r="S170" s="5">
        <v>42.350903715627602</v>
      </c>
      <c r="T170" s="5">
        <v>-70.997958299999993</v>
      </c>
    </row>
    <row r="171" spans="1:20" x14ac:dyDescent="0.3">
      <c r="A171" s="5" t="s">
        <v>744</v>
      </c>
      <c r="B171" s="6">
        <v>13882</v>
      </c>
      <c r="C171" s="6" t="str">
        <f t="shared" si="49"/>
        <v>Active/Unavailable</v>
      </c>
      <c r="D171" s="5" t="s">
        <v>29</v>
      </c>
      <c r="E171" s="5" t="s">
        <v>745</v>
      </c>
      <c r="F171" s="5" t="s">
        <v>746</v>
      </c>
      <c r="G171" s="5" t="str">
        <f t="shared" si="44"/>
        <v>Not Available</v>
      </c>
      <c r="H171" s="5" t="str">
        <f t="shared" si="51"/>
        <v>Not Available</v>
      </c>
      <c r="I171" s="5" t="s">
        <v>22</v>
      </c>
      <c r="J171" s="5" t="s">
        <v>3387</v>
      </c>
      <c r="K171" s="5" t="s">
        <v>3393</v>
      </c>
      <c r="L171" s="5" t="s">
        <v>22</v>
      </c>
      <c r="M171" s="5" t="s">
        <v>3411</v>
      </c>
      <c r="N171" s="5" t="s">
        <v>747</v>
      </c>
      <c r="O171" s="5" t="s">
        <v>33</v>
      </c>
      <c r="P171" s="5" t="s">
        <v>26</v>
      </c>
      <c r="Q171" s="5" t="s">
        <v>34</v>
      </c>
      <c r="R171" s="5">
        <v>2121</v>
      </c>
      <c r="S171" s="5">
        <v>42.409346630454998</v>
      </c>
      <c r="T171" s="5">
        <v>-71.103063520000006</v>
      </c>
    </row>
    <row r="172" spans="1:20" x14ac:dyDescent="0.3">
      <c r="A172" s="5" t="s">
        <v>748</v>
      </c>
      <c r="B172" s="6">
        <v>28841</v>
      </c>
      <c r="C172" s="6" t="str">
        <f t="shared" si="49"/>
        <v>Active/Unavailable</v>
      </c>
      <c r="D172" s="5" t="s">
        <v>29</v>
      </c>
      <c r="E172" s="5" t="s">
        <v>749</v>
      </c>
      <c r="F172" s="5" t="s">
        <v>129</v>
      </c>
      <c r="G172" s="5" t="str">
        <f t="shared" si="44"/>
        <v>Not Available</v>
      </c>
      <c r="H172" s="5" t="str">
        <f t="shared" si="51"/>
        <v>Not Available</v>
      </c>
      <c r="I172" s="5" t="s">
        <v>22</v>
      </c>
      <c r="J172" s="5" t="s">
        <v>3387</v>
      </c>
      <c r="K172" s="5" t="s">
        <v>3393</v>
      </c>
      <c r="L172" s="5" t="s">
        <v>22</v>
      </c>
      <c r="M172" s="5" t="s">
        <v>3400</v>
      </c>
      <c r="N172" s="5" t="s">
        <v>750</v>
      </c>
      <c r="O172" s="5" t="s">
        <v>33</v>
      </c>
      <c r="P172" s="5" t="s">
        <v>26</v>
      </c>
      <c r="Q172" s="5" t="s">
        <v>34</v>
      </c>
      <c r="R172" s="5">
        <v>2125</v>
      </c>
      <c r="S172" s="5">
        <v>42.339392983079797</v>
      </c>
      <c r="T172" s="5">
        <v>-71.032408079999996</v>
      </c>
    </row>
    <row r="173" spans="1:20" x14ac:dyDescent="0.3">
      <c r="A173" s="5" t="s">
        <v>751</v>
      </c>
      <c r="B173" s="6">
        <v>15330</v>
      </c>
      <c r="C173" s="6" t="str">
        <f t="shared" si="49"/>
        <v>Active/Unavailable</v>
      </c>
      <c r="D173" s="5" t="s">
        <v>29</v>
      </c>
      <c r="E173" s="5" t="s">
        <v>752</v>
      </c>
      <c r="F173" s="5" t="s">
        <v>753</v>
      </c>
      <c r="G173" s="5" t="str">
        <f t="shared" si="44"/>
        <v>Not Available</v>
      </c>
      <c r="H173" s="5" t="str">
        <f t="shared" si="51"/>
        <v>Not Available</v>
      </c>
      <c r="I173" s="5" t="s">
        <v>22</v>
      </c>
      <c r="J173" s="5" t="s">
        <v>3387</v>
      </c>
      <c r="K173" s="5" t="s">
        <v>3393</v>
      </c>
      <c r="L173" s="5" t="s">
        <v>22</v>
      </c>
      <c r="M173" s="5" t="s">
        <v>3430</v>
      </c>
      <c r="N173" s="5" t="s">
        <v>754</v>
      </c>
      <c r="O173" s="5" t="s">
        <v>33</v>
      </c>
      <c r="P173" s="5" t="s">
        <v>26</v>
      </c>
      <c r="Q173" s="5" t="s">
        <v>34</v>
      </c>
      <c r="R173" s="5">
        <v>2120</v>
      </c>
      <c r="S173" s="5">
        <v>42.317736841809399</v>
      </c>
      <c r="T173" s="5">
        <v>-71.165648050000001</v>
      </c>
    </row>
    <row r="174" spans="1:20" x14ac:dyDescent="0.3">
      <c r="A174" s="5" t="s">
        <v>755</v>
      </c>
      <c r="B174" s="6">
        <v>16798</v>
      </c>
      <c r="C174" s="6" t="str">
        <f t="shared" si="49"/>
        <v>Active/Unavailable</v>
      </c>
      <c r="D174" s="5" t="s">
        <v>100</v>
      </c>
      <c r="E174" s="5" t="s">
        <v>756</v>
      </c>
      <c r="F174" s="5" t="s">
        <v>83</v>
      </c>
      <c r="G174" s="5" t="str">
        <f t="shared" si="44"/>
        <v>Not Available</v>
      </c>
      <c r="H174" s="5" t="str">
        <f t="shared" si="51"/>
        <v>Not Available</v>
      </c>
      <c r="I174" s="5" t="s">
        <v>65</v>
      </c>
      <c r="J174" s="5" t="s">
        <v>3387</v>
      </c>
      <c r="K174" s="5" t="s">
        <v>3393</v>
      </c>
      <c r="L174" s="5" t="s">
        <v>23</v>
      </c>
      <c r="M174" s="5" t="s">
        <v>3506</v>
      </c>
      <c r="N174" s="5" t="s">
        <v>757</v>
      </c>
      <c r="O174" s="5" t="s">
        <v>33</v>
      </c>
      <c r="P174" s="5" t="s">
        <v>26</v>
      </c>
      <c r="Q174" s="5" t="s">
        <v>34</v>
      </c>
      <c r="R174" s="5">
        <v>2111</v>
      </c>
      <c r="S174" s="5">
        <v>42.367002108127501</v>
      </c>
      <c r="T174" s="5">
        <v>-71.036412850000005</v>
      </c>
    </row>
    <row r="175" spans="1:20" x14ac:dyDescent="0.3">
      <c r="A175" s="5" t="s">
        <v>758</v>
      </c>
      <c r="B175" s="6">
        <v>27305</v>
      </c>
      <c r="C175" s="6" t="str">
        <f t="shared" si="49"/>
        <v>Active/Unavailable</v>
      </c>
      <c r="D175" s="5" t="s">
        <v>18</v>
      </c>
      <c r="E175" s="5" t="s">
        <v>759</v>
      </c>
      <c r="F175" s="5" t="s">
        <v>402</v>
      </c>
      <c r="G175" s="5" t="str">
        <f t="shared" si="44"/>
        <v>Not Available</v>
      </c>
      <c r="H175" s="5" t="s">
        <v>760</v>
      </c>
      <c r="I175" s="5" t="s">
        <v>22</v>
      </c>
      <c r="J175" s="5" t="s">
        <v>3387</v>
      </c>
      <c r="K175" s="5" t="s">
        <v>3393</v>
      </c>
      <c r="L175" s="5" t="s">
        <v>23</v>
      </c>
      <c r="M175" s="5" t="s">
        <v>3405</v>
      </c>
      <c r="N175" s="5" t="s">
        <v>761</v>
      </c>
      <c r="O175" s="5" t="s">
        <v>486</v>
      </c>
      <c r="P175" s="5" t="s">
        <v>26</v>
      </c>
      <c r="Q175" s="5" t="s">
        <v>34</v>
      </c>
      <c r="R175" s="5">
        <v>2152</v>
      </c>
      <c r="S175" s="5">
        <v>42.363470648709203</v>
      </c>
      <c r="T175" s="5">
        <v>-70.976440049999994</v>
      </c>
    </row>
    <row r="176" spans="1:20" x14ac:dyDescent="0.3">
      <c r="A176" s="5" t="s">
        <v>762</v>
      </c>
      <c r="B176" s="6">
        <v>27758</v>
      </c>
      <c r="C176" s="6" t="str">
        <f t="shared" si="49"/>
        <v>Active/Unavailable</v>
      </c>
      <c r="D176" s="5" t="s">
        <v>29</v>
      </c>
      <c r="E176" s="5" t="s">
        <v>763</v>
      </c>
      <c r="F176" s="5" t="s">
        <v>764</v>
      </c>
      <c r="G176" s="5" t="str">
        <f t="shared" si="44"/>
        <v>Not Available</v>
      </c>
      <c r="H176" s="5" t="str">
        <f t="shared" ref="H176:H177" si="52">"Not Available"</f>
        <v>Not Available</v>
      </c>
      <c r="I176" s="5" t="s">
        <v>22</v>
      </c>
      <c r="J176" s="5" t="s">
        <v>3387</v>
      </c>
      <c r="K176" s="5" t="s">
        <v>3393</v>
      </c>
      <c r="L176" s="5" t="s">
        <v>22</v>
      </c>
      <c r="M176" s="5" t="s">
        <v>3507</v>
      </c>
      <c r="N176" s="5" t="s">
        <v>765</v>
      </c>
      <c r="O176" s="5" t="s">
        <v>25</v>
      </c>
      <c r="P176" s="5" t="s">
        <v>26</v>
      </c>
      <c r="Q176" s="5" t="s">
        <v>27</v>
      </c>
      <c r="R176" s="5">
        <v>2169</v>
      </c>
      <c r="S176" s="5">
        <v>42.285825304992798</v>
      </c>
      <c r="T176" s="5">
        <v>-71.037413760000007</v>
      </c>
    </row>
    <row r="177" spans="1:20" x14ac:dyDescent="0.3">
      <c r="A177" s="5" t="s">
        <v>766</v>
      </c>
      <c r="B177" s="6">
        <v>12085</v>
      </c>
      <c r="C177" s="6">
        <v>41606</v>
      </c>
      <c r="D177" s="5" t="s">
        <v>29</v>
      </c>
      <c r="E177" s="5" t="s">
        <v>767</v>
      </c>
      <c r="F177" s="5" t="s">
        <v>528</v>
      </c>
      <c r="G177" s="5" t="str">
        <f t="shared" si="44"/>
        <v>Not Available</v>
      </c>
      <c r="H177" s="5" t="str">
        <f t="shared" si="52"/>
        <v>Not Available</v>
      </c>
      <c r="I177" s="5" t="s">
        <v>22</v>
      </c>
      <c r="J177" s="5" t="s">
        <v>3387</v>
      </c>
      <c r="K177" s="5" t="s">
        <v>3393</v>
      </c>
      <c r="L177" s="5" t="s">
        <v>22</v>
      </c>
      <c r="M177" s="5" t="s">
        <v>3508</v>
      </c>
      <c r="N177" s="5" t="s">
        <v>768</v>
      </c>
      <c r="O177" s="5" t="s">
        <v>88</v>
      </c>
      <c r="P177" s="5" t="s">
        <v>26</v>
      </c>
      <c r="Q177" s="5" t="s">
        <v>57</v>
      </c>
      <c r="R177" s="5">
        <v>2144</v>
      </c>
      <c r="S177" s="5">
        <v>42.3714673451152</v>
      </c>
      <c r="T177" s="5">
        <v>-71.108229170000001</v>
      </c>
    </row>
    <row r="178" spans="1:20" x14ac:dyDescent="0.3">
      <c r="A178" s="5" t="s">
        <v>769</v>
      </c>
      <c r="B178" s="6">
        <v>18688</v>
      </c>
      <c r="C178" s="6">
        <v>43794</v>
      </c>
      <c r="D178" s="5" t="s">
        <v>18</v>
      </c>
      <c r="E178" s="5" t="s">
        <v>770</v>
      </c>
      <c r="F178" s="5" t="s">
        <v>490</v>
      </c>
      <c r="G178" s="5" t="str">
        <f t="shared" si="44"/>
        <v>Not Available</v>
      </c>
      <c r="H178" s="5" t="s">
        <v>549</v>
      </c>
      <c r="I178" s="5" t="s">
        <v>22</v>
      </c>
      <c r="J178" s="5" t="s">
        <v>3387</v>
      </c>
      <c r="K178" s="5" t="s">
        <v>3393</v>
      </c>
      <c r="L178" s="5" t="s">
        <v>23</v>
      </c>
      <c r="M178" s="5" t="s">
        <v>3509</v>
      </c>
      <c r="N178" s="5" t="s">
        <v>771</v>
      </c>
      <c r="O178" s="5" t="s">
        <v>33</v>
      </c>
      <c r="P178" s="5" t="s">
        <v>26</v>
      </c>
      <c r="Q178" s="5" t="s">
        <v>34</v>
      </c>
      <c r="R178" s="5">
        <v>2118</v>
      </c>
      <c r="S178" s="5">
        <v>42.348808781688099</v>
      </c>
      <c r="T178" s="5">
        <v>-71.073852110000004</v>
      </c>
    </row>
    <row r="179" spans="1:20" x14ac:dyDescent="0.3">
      <c r="A179" s="5" t="s">
        <v>772</v>
      </c>
      <c r="B179" s="6">
        <v>18688</v>
      </c>
      <c r="C179" s="6" t="str">
        <f>"Active/Unavailable"</f>
        <v>Active/Unavailable</v>
      </c>
      <c r="D179" s="5" t="s">
        <v>18</v>
      </c>
      <c r="E179" s="5" t="s">
        <v>773</v>
      </c>
      <c r="F179" s="5" t="s">
        <v>774</v>
      </c>
      <c r="G179" s="5" t="str">
        <f t="shared" si="44"/>
        <v>Not Available</v>
      </c>
      <c r="H179" s="5" t="s">
        <v>775</v>
      </c>
      <c r="I179" s="5" t="s">
        <v>22</v>
      </c>
      <c r="J179" s="5" t="s">
        <v>3387</v>
      </c>
      <c r="K179" s="5" t="s">
        <v>3393</v>
      </c>
      <c r="L179" s="5" t="s">
        <v>23</v>
      </c>
      <c r="M179" s="5" t="s">
        <v>3510</v>
      </c>
      <c r="N179" s="5" t="s">
        <v>776</v>
      </c>
      <c r="O179" s="5" t="s">
        <v>33</v>
      </c>
      <c r="P179" s="5" t="s">
        <v>26</v>
      </c>
      <c r="Q179" s="5" t="s">
        <v>34</v>
      </c>
      <c r="R179" s="5">
        <v>2135</v>
      </c>
      <c r="S179" s="5">
        <v>42.3849401978473</v>
      </c>
      <c r="T179" s="5">
        <v>-70.949920710000001</v>
      </c>
    </row>
    <row r="180" spans="1:20" x14ac:dyDescent="0.3">
      <c r="A180" s="5" t="s">
        <v>777</v>
      </c>
      <c r="B180" s="6">
        <v>12505</v>
      </c>
      <c r="C180" s="6">
        <v>42835</v>
      </c>
      <c r="D180" s="5" t="s">
        <v>18</v>
      </c>
      <c r="E180" s="5" t="s">
        <v>778</v>
      </c>
      <c r="F180" s="5" t="s">
        <v>779</v>
      </c>
      <c r="G180" s="5" t="str">
        <f t="shared" si="44"/>
        <v>Not Available</v>
      </c>
      <c r="H180" s="5" t="s">
        <v>780</v>
      </c>
      <c r="I180" s="5" t="s">
        <v>22</v>
      </c>
      <c r="J180" s="5" t="s">
        <v>3389</v>
      </c>
      <c r="K180" s="5" t="s">
        <v>3393</v>
      </c>
      <c r="L180" s="5" t="s">
        <v>23</v>
      </c>
      <c r="M180" s="5" t="s">
        <v>3511</v>
      </c>
      <c r="N180" s="5" t="s">
        <v>781</v>
      </c>
      <c r="O180" s="5" t="s">
        <v>33</v>
      </c>
      <c r="P180" s="5" t="s">
        <v>26</v>
      </c>
      <c r="Q180" s="5" t="s">
        <v>34</v>
      </c>
      <c r="R180" s="5">
        <v>2116</v>
      </c>
      <c r="S180" s="5">
        <v>42.321398936197198</v>
      </c>
      <c r="T180" s="5">
        <v>-71.121250509999996</v>
      </c>
    </row>
    <row r="181" spans="1:20" x14ac:dyDescent="0.3">
      <c r="A181" s="5" t="s">
        <v>782</v>
      </c>
      <c r="B181" s="6">
        <v>14655</v>
      </c>
      <c r="C181" s="6" t="str">
        <f t="shared" ref="C181:C182" si="53">"Active/Unavailable"</f>
        <v>Active/Unavailable</v>
      </c>
      <c r="D181" s="5" t="s">
        <v>18</v>
      </c>
      <c r="E181" s="5" t="s">
        <v>783</v>
      </c>
      <c r="F181" s="5" t="s">
        <v>784</v>
      </c>
      <c r="G181" s="5" t="str">
        <f t="shared" si="44"/>
        <v>Not Available</v>
      </c>
      <c r="H181" s="5" t="s">
        <v>785</v>
      </c>
      <c r="I181" s="5" t="s">
        <v>22</v>
      </c>
      <c r="J181" s="5" t="s">
        <v>3387</v>
      </c>
      <c r="K181" s="5" t="s">
        <v>3393</v>
      </c>
      <c r="L181" s="5" t="s">
        <v>23</v>
      </c>
      <c r="M181" s="5" t="s">
        <v>3421</v>
      </c>
      <c r="N181" s="5" t="s">
        <v>786</v>
      </c>
      <c r="O181" s="5" t="s">
        <v>316</v>
      </c>
      <c r="P181" s="5" t="s">
        <v>26</v>
      </c>
      <c r="Q181" s="5" t="s">
        <v>317</v>
      </c>
      <c r="R181" s="5">
        <v>2043</v>
      </c>
      <c r="S181" s="5">
        <v>42.251966611977501</v>
      </c>
      <c r="T181" s="5">
        <v>-70.872468679999997</v>
      </c>
    </row>
    <row r="182" spans="1:20" x14ac:dyDescent="0.3">
      <c r="A182" s="5" t="s">
        <v>787</v>
      </c>
      <c r="B182" s="6">
        <v>14711</v>
      </c>
      <c r="C182" s="6" t="str">
        <f t="shared" si="53"/>
        <v>Active/Unavailable</v>
      </c>
      <c r="D182" s="5" t="s">
        <v>29</v>
      </c>
      <c r="E182" s="5" t="s">
        <v>788</v>
      </c>
      <c r="F182" s="5" t="s">
        <v>170</v>
      </c>
      <c r="G182" s="5" t="str">
        <f t="shared" si="44"/>
        <v>Not Available</v>
      </c>
      <c r="H182" s="5" t="str">
        <f t="shared" ref="H182:H183" si="54">"Not Available"</f>
        <v>Not Available</v>
      </c>
      <c r="I182" s="5" t="s">
        <v>22</v>
      </c>
      <c r="J182" s="5" t="s">
        <v>3388</v>
      </c>
      <c r="K182" s="5" t="s">
        <v>3394</v>
      </c>
      <c r="L182" s="5" t="s">
        <v>22</v>
      </c>
      <c r="M182" s="5" t="s">
        <v>3512</v>
      </c>
      <c r="N182" s="5" t="s">
        <v>789</v>
      </c>
      <c r="O182" s="5" t="s">
        <v>33</v>
      </c>
      <c r="P182" s="5" t="s">
        <v>26</v>
      </c>
      <c r="Q182" s="5" t="s">
        <v>34</v>
      </c>
      <c r="R182" s="5">
        <v>2122</v>
      </c>
      <c r="S182" s="5">
        <v>42.345417885590898</v>
      </c>
      <c r="T182" s="5">
        <v>-71.109279130000004</v>
      </c>
    </row>
    <row r="183" spans="1:20" x14ac:dyDescent="0.3">
      <c r="A183" s="7" t="s">
        <v>790</v>
      </c>
      <c r="B183" s="6">
        <v>9456</v>
      </c>
      <c r="C183" s="6">
        <v>44556</v>
      </c>
      <c r="D183" s="5" t="s">
        <v>29</v>
      </c>
      <c r="E183" s="5" t="s">
        <v>791</v>
      </c>
      <c r="F183" s="5" t="s">
        <v>165</v>
      </c>
      <c r="G183" s="5" t="str">
        <f t="shared" si="44"/>
        <v>Not Available</v>
      </c>
      <c r="H183" s="5" t="str">
        <f t="shared" si="54"/>
        <v>Not Available</v>
      </c>
      <c r="I183" s="5" t="s">
        <v>22</v>
      </c>
      <c r="J183" s="5" t="s">
        <v>3387</v>
      </c>
      <c r="K183" s="5" t="s">
        <v>3393</v>
      </c>
      <c r="L183" s="5" t="s">
        <v>22</v>
      </c>
      <c r="M183" s="5" t="s">
        <v>3513</v>
      </c>
      <c r="N183" s="5" t="s">
        <v>792</v>
      </c>
      <c r="O183" s="5" t="s">
        <v>145</v>
      </c>
      <c r="P183" s="5" t="s">
        <v>26</v>
      </c>
      <c r="Q183" s="5" t="s">
        <v>57</v>
      </c>
      <c r="R183" s="5">
        <v>2149</v>
      </c>
      <c r="S183" s="5">
        <v>42.356630699999997</v>
      </c>
      <c r="T183" s="5">
        <v>-71.051787259999998</v>
      </c>
    </row>
    <row r="184" spans="1:20" x14ac:dyDescent="0.3">
      <c r="A184" s="5" t="s">
        <v>793</v>
      </c>
      <c r="B184" s="6">
        <v>25229</v>
      </c>
      <c r="C184" s="6" t="str">
        <f t="shared" ref="C184:C189" si="55">"Active/Unavailable"</f>
        <v>Active/Unavailable</v>
      </c>
      <c r="D184" s="5" t="s">
        <v>18</v>
      </c>
      <c r="E184" s="5" t="s">
        <v>794</v>
      </c>
      <c r="F184" s="5" t="s">
        <v>795</v>
      </c>
      <c r="G184" s="5" t="str">
        <f t="shared" si="44"/>
        <v>Not Available</v>
      </c>
      <c r="H184" s="5" t="s">
        <v>796</v>
      </c>
      <c r="I184" s="5" t="s">
        <v>22</v>
      </c>
      <c r="J184" s="5" t="s">
        <v>3392</v>
      </c>
      <c r="K184" s="5" t="s">
        <v>3394</v>
      </c>
      <c r="L184" s="5" t="s">
        <v>23</v>
      </c>
      <c r="M184" s="5" t="s">
        <v>3480</v>
      </c>
      <c r="N184" s="5" t="s">
        <v>797</v>
      </c>
      <c r="O184" s="5" t="s">
        <v>33</v>
      </c>
      <c r="P184" s="5" t="s">
        <v>26</v>
      </c>
      <c r="Q184" s="5" t="s">
        <v>34</v>
      </c>
      <c r="R184" s="5">
        <v>2111</v>
      </c>
      <c r="S184" s="5">
        <v>42.327182463233299</v>
      </c>
      <c r="T184" s="5">
        <v>-71.058692730000004</v>
      </c>
    </row>
    <row r="185" spans="1:20" x14ac:dyDescent="0.3">
      <c r="A185" s="5" t="s">
        <v>798</v>
      </c>
      <c r="B185" s="6">
        <v>9456</v>
      </c>
      <c r="C185" s="6" t="str">
        <f t="shared" si="55"/>
        <v>Active/Unavailable</v>
      </c>
      <c r="D185" s="5" t="s">
        <v>29</v>
      </c>
      <c r="E185" s="5" t="s">
        <v>799</v>
      </c>
      <c r="F185" s="5" t="s">
        <v>760</v>
      </c>
      <c r="G185" s="5" t="str">
        <f t="shared" si="44"/>
        <v>Not Available</v>
      </c>
      <c r="H185" s="5" t="str">
        <f t="shared" ref="H185:H187" si="56">"Not Available"</f>
        <v>Not Available</v>
      </c>
      <c r="I185" s="5" t="s">
        <v>22</v>
      </c>
      <c r="J185" s="5" t="s">
        <v>3387</v>
      </c>
      <c r="K185" s="5" t="s">
        <v>3393</v>
      </c>
      <c r="L185" s="5" t="s">
        <v>22</v>
      </c>
      <c r="M185" s="5" t="s">
        <v>3514</v>
      </c>
      <c r="N185" s="5" t="s">
        <v>800</v>
      </c>
      <c r="O185" s="5" t="s">
        <v>145</v>
      </c>
      <c r="P185" s="5" t="s">
        <v>26</v>
      </c>
      <c r="Q185" s="5" t="s">
        <v>57</v>
      </c>
      <c r="R185" s="5">
        <v>2149</v>
      </c>
      <c r="S185" s="5">
        <v>42.3849743098272</v>
      </c>
      <c r="T185" s="5">
        <v>-71.013100730000005</v>
      </c>
    </row>
    <row r="186" spans="1:20" x14ac:dyDescent="0.3">
      <c r="A186" s="5" t="s">
        <v>801</v>
      </c>
      <c r="B186" s="6">
        <v>11245</v>
      </c>
      <c r="C186" s="6" t="str">
        <f t="shared" si="55"/>
        <v>Active/Unavailable</v>
      </c>
      <c r="D186" s="5" t="s">
        <v>29</v>
      </c>
      <c r="E186" s="5" t="s">
        <v>802</v>
      </c>
      <c r="F186" s="5" t="s">
        <v>510</v>
      </c>
      <c r="G186" s="5" t="str">
        <f t="shared" si="44"/>
        <v>Not Available</v>
      </c>
      <c r="H186" s="5" t="str">
        <f t="shared" si="56"/>
        <v>Not Available</v>
      </c>
      <c r="I186" s="5" t="s">
        <v>22</v>
      </c>
      <c r="J186" s="5" t="s">
        <v>3389</v>
      </c>
      <c r="K186" s="5" t="s">
        <v>3393</v>
      </c>
      <c r="L186" s="5" t="s">
        <v>22</v>
      </c>
      <c r="M186" s="5" t="s">
        <v>3515</v>
      </c>
      <c r="N186" s="5" t="s">
        <v>803</v>
      </c>
      <c r="O186" s="5" t="s">
        <v>33</v>
      </c>
      <c r="P186" s="5" t="s">
        <v>26</v>
      </c>
      <c r="Q186" s="5" t="s">
        <v>34</v>
      </c>
      <c r="R186" s="5">
        <v>2119</v>
      </c>
      <c r="S186" s="5">
        <v>42.379463944609498</v>
      </c>
      <c r="T186" s="5">
        <v>-71.075939750000003</v>
      </c>
    </row>
    <row r="187" spans="1:20" x14ac:dyDescent="0.3">
      <c r="A187" s="5" t="s">
        <v>804</v>
      </c>
      <c r="B187" s="6">
        <v>25904</v>
      </c>
      <c r="C187" s="6" t="str">
        <f t="shared" si="55"/>
        <v>Active/Unavailable</v>
      </c>
      <c r="D187" s="5" t="s">
        <v>29</v>
      </c>
      <c r="E187" s="5" t="s">
        <v>805</v>
      </c>
      <c r="F187" s="5" t="s">
        <v>451</v>
      </c>
      <c r="G187" s="5" t="str">
        <f t="shared" si="44"/>
        <v>Not Available</v>
      </c>
      <c r="H187" s="5" t="str">
        <f t="shared" si="56"/>
        <v>Not Available</v>
      </c>
      <c r="I187" s="5" t="s">
        <v>22</v>
      </c>
      <c r="J187" s="5" t="s">
        <v>3387</v>
      </c>
      <c r="K187" s="5" t="s">
        <v>3394</v>
      </c>
      <c r="L187" s="5" t="s">
        <v>22</v>
      </c>
      <c r="M187" s="5" t="s">
        <v>3435</v>
      </c>
      <c r="N187" s="5" t="s">
        <v>806</v>
      </c>
      <c r="O187" s="5" t="s">
        <v>807</v>
      </c>
      <c r="P187" s="5" t="s">
        <v>26</v>
      </c>
      <c r="Q187" s="5" t="s">
        <v>317</v>
      </c>
      <c r="R187" s="5">
        <v>2066</v>
      </c>
      <c r="S187" s="5">
        <v>42.229489379999997</v>
      </c>
      <c r="T187" s="5">
        <v>-70.772605769999998</v>
      </c>
    </row>
    <row r="188" spans="1:20" x14ac:dyDescent="0.3">
      <c r="A188" s="5" t="s">
        <v>808</v>
      </c>
      <c r="B188" s="6">
        <v>31064</v>
      </c>
      <c r="C188" s="6" t="str">
        <f t="shared" si="55"/>
        <v>Active/Unavailable</v>
      </c>
      <c r="D188" s="5" t="s">
        <v>18</v>
      </c>
      <c r="E188" s="5" t="s">
        <v>809</v>
      </c>
      <c r="F188" s="5" t="s">
        <v>129</v>
      </c>
      <c r="G188" s="5" t="str">
        <f t="shared" si="44"/>
        <v>Not Available</v>
      </c>
      <c r="H188" s="5" t="s">
        <v>625</v>
      </c>
      <c r="I188" s="5" t="s">
        <v>22</v>
      </c>
      <c r="J188" s="5" t="s">
        <v>3387</v>
      </c>
      <c r="K188" s="5" t="s">
        <v>3393</v>
      </c>
      <c r="L188" s="5" t="s">
        <v>23</v>
      </c>
      <c r="M188" s="5" t="s">
        <v>3516</v>
      </c>
      <c r="N188" s="5" t="s">
        <v>810</v>
      </c>
      <c r="O188" s="5" t="s">
        <v>33</v>
      </c>
      <c r="P188" s="5" t="s">
        <v>26</v>
      </c>
      <c r="Q188" s="5" t="s">
        <v>34</v>
      </c>
      <c r="R188" s="5">
        <v>2125</v>
      </c>
      <c r="S188" s="5">
        <v>42.3625511144906</v>
      </c>
      <c r="T188" s="5">
        <v>-71.058210650000007</v>
      </c>
    </row>
    <row r="189" spans="1:20" x14ac:dyDescent="0.3">
      <c r="A189" s="5" t="s">
        <v>811</v>
      </c>
      <c r="B189" s="6">
        <v>12872</v>
      </c>
      <c r="C189" s="6" t="str">
        <f t="shared" si="55"/>
        <v>Active/Unavailable</v>
      </c>
      <c r="D189" s="5" t="s">
        <v>100</v>
      </c>
      <c r="E189" s="5" t="s">
        <v>812</v>
      </c>
      <c r="F189" s="5" t="s">
        <v>468</v>
      </c>
      <c r="G189" s="5" t="str">
        <f t="shared" si="44"/>
        <v>Not Available</v>
      </c>
      <c r="H189" s="5" t="str">
        <f t="shared" ref="H189:H190" si="57">"Not Available"</f>
        <v>Not Available</v>
      </c>
      <c r="I189" s="5" t="s">
        <v>65</v>
      </c>
      <c r="J189" s="5" t="s">
        <v>3389</v>
      </c>
      <c r="K189" s="5" t="s">
        <v>3393</v>
      </c>
      <c r="L189" s="5" t="s">
        <v>23</v>
      </c>
      <c r="M189" s="5" t="s">
        <v>3517</v>
      </c>
      <c r="N189" s="5" t="s">
        <v>813</v>
      </c>
      <c r="O189" s="5" t="s">
        <v>33</v>
      </c>
      <c r="P189" s="5" t="s">
        <v>26</v>
      </c>
      <c r="Q189" s="5" t="s">
        <v>34</v>
      </c>
      <c r="R189" s="5">
        <v>2126</v>
      </c>
      <c r="S189" s="5">
        <v>42.3214027710737</v>
      </c>
      <c r="T189" s="5">
        <v>-71.027557450000003</v>
      </c>
    </row>
    <row r="190" spans="1:20" x14ac:dyDescent="0.3">
      <c r="A190" s="5" t="s">
        <v>814</v>
      </c>
      <c r="B190" s="6">
        <v>14536</v>
      </c>
      <c r="C190" s="6">
        <v>43502</v>
      </c>
      <c r="D190" s="5" t="s">
        <v>29</v>
      </c>
      <c r="E190" s="5" t="s">
        <v>815</v>
      </c>
      <c r="F190" s="5" t="s">
        <v>816</v>
      </c>
      <c r="G190" s="5" t="str">
        <f t="shared" si="44"/>
        <v>Not Available</v>
      </c>
      <c r="H190" s="5" t="str">
        <f t="shared" si="57"/>
        <v>Not Available</v>
      </c>
      <c r="I190" s="5" t="s">
        <v>22</v>
      </c>
      <c r="J190" s="5" t="s">
        <v>3387</v>
      </c>
      <c r="K190" s="5" t="s">
        <v>3393</v>
      </c>
      <c r="L190" s="5" t="s">
        <v>22</v>
      </c>
      <c r="M190" s="5" t="s">
        <v>3424</v>
      </c>
      <c r="N190" s="5" t="s">
        <v>817</v>
      </c>
      <c r="O190" s="5" t="s">
        <v>33</v>
      </c>
      <c r="P190" s="5" t="s">
        <v>26</v>
      </c>
      <c r="Q190" s="5" t="s">
        <v>34</v>
      </c>
      <c r="R190" s="5">
        <v>2120</v>
      </c>
      <c r="S190" s="5">
        <v>42.349373823803397</v>
      </c>
      <c r="T190" s="5">
        <v>-71.034928410000006</v>
      </c>
    </row>
    <row r="191" spans="1:20" x14ac:dyDescent="0.3">
      <c r="A191" s="5" t="s">
        <v>818</v>
      </c>
      <c r="B191" s="6">
        <v>12805</v>
      </c>
      <c r="C191" s="6" t="str">
        <f t="shared" ref="C191:C192" si="58">"Active/Unavailable"</f>
        <v>Active/Unavailable</v>
      </c>
      <c r="D191" s="5" t="s">
        <v>18</v>
      </c>
      <c r="E191" s="5" t="s">
        <v>819</v>
      </c>
      <c r="F191" s="5" t="s">
        <v>820</v>
      </c>
      <c r="G191" s="5" t="str">
        <f t="shared" si="44"/>
        <v>Not Available</v>
      </c>
      <c r="H191" s="5" t="s">
        <v>821</v>
      </c>
      <c r="I191" s="5" t="s">
        <v>22</v>
      </c>
      <c r="J191" s="5" t="s">
        <v>3387</v>
      </c>
      <c r="K191" s="5" t="s">
        <v>3393</v>
      </c>
      <c r="L191" s="5" t="s">
        <v>23</v>
      </c>
      <c r="M191" s="5" t="s">
        <v>3518</v>
      </c>
      <c r="N191" s="5" t="s">
        <v>822</v>
      </c>
      <c r="O191" s="5" t="s">
        <v>88</v>
      </c>
      <c r="P191" s="5" t="s">
        <v>26</v>
      </c>
      <c r="Q191" s="5" t="s">
        <v>57</v>
      </c>
      <c r="R191" s="5">
        <v>2145</v>
      </c>
      <c r="S191" s="5">
        <v>42.3666269891037</v>
      </c>
      <c r="T191" s="5">
        <v>-71.112458689999997</v>
      </c>
    </row>
    <row r="192" spans="1:20" x14ac:dyDescent="0.3">
      <c r="A192" s="5" t="s">
        <v>823</v>
      </c>
      <c r="B192" s="6">
        <v>27545</v>
      </c>
      <c r="C192" s="6" t="str">
        <f t="shared" si="58"/>
        <v>Active/Unavailable</v>
      </c>
      <c r="D192" s="5" t="s">
        <v>18</v>
      </c>
      <c r="E192" s="5" t="s">
        <v>824</v>
      </c>
      <c r="F192" s="5" t="s">
        <v>366</v>
      </c>
      <c r="G192" s="5" t="str">
        <f t="shared" si="44"/>
        <v>Not Available</v>
      </c>
      <c r="H192" s="5" t="s">
        <v>825</v>
      </c>
      <c r="I192" s="5" t="s">
        <v>22</v>
      </c>
      <c r="J192" s="5" t="s">
        <v>3389</v>
      </c>
      <c r="K192" s="5" t="s">
        <v>3393</v>
      </c>
      <c r="L192" s="5" t="s">
        <v>23</v>
      </c>
      <c r="M192" s="5" t="s">
        <v>3400</v>
      </c>
      <c r="N192" s="5" t="s">
        <v>826</v>
      </c>
      <c r="O192" s="5" t="s">
        <v>33</v>
      </c>
      <c r="P192" s="5" t="s">
        <v>26</v>
      </c>
      <c r="Q192" s="5" t="s">
        <v>34</v>
      </c>
      <c r="R192" s="5">
        <v>2129</v>
      </c>
      <c r="S192" s="5">
        <v>42.290805505773498</v>
      </c>
      <c r="T192" s="5">
        <v>-71.042099320000005</v>
      </c>
    </row>
    <row r="193" spans="1:20" x14ac:dyDescent="0.3">
      <c r="A193" s="5" t="s">
        <v>827</v>
      </c>
      <c r="B193" s="6">
        <v>13352</v>
      </c>
      <c r="C193" s="6">
        <v>43329</v>
      </c>
      <c r="D193" s="5" t="s">
        <v>29</v>
      </c>
      <c r="E193" s="5" t="s">
        <v>828</v>
      </c>
      <c r="F193" s="5" t="s">
        <v>636</v>
      </c>
      <c r="G193" s="5" t="str">
        <f t="shared" si="44"/>
        <v>Not Available</v>
      </c>
      <c r="H193" s="5" t="str">
        <f>"Not Available"</f>
        <v>Not Available</v>
      </c>
      <c r="I193" s="5" t="s">
        <v>22</v>
      </c>
      <c r="J193" s="5" t="s">
        <v>3387</v>
      </c>
      <c r="K193" s="5" t="s">
        <v>3393</v>
      </c>
      <c r="L193" s="5" t="s">
        <v>22</v>
      </c>
      <c r="M193" s="5" t="s">
        <v>3513</v>
      </c>
      <c r="N193" s="5" t="s">
        <v>829</v>
      </c>
      <c r="O193" s="5" t="s">
        <v>33</v>
      </c>
      <c r="P193" s="5" t="s">
        <v>26</v>
      </c>
      <c r="Q193" s="5" t="s">
        <v>34</v>
      </c>
      <c r="R193" s="5">
        <v>2128</v>
      </c>
      <c r="S193" s="5">
        <v>42.3498038214451</v>
      </c>
      <c r="T193" s="5">
        <v>-71.019002510000007</v>
      </c>
    </row>
    <row r="194" spans="1:20" x14ac:dyDescent="0.3">
      <c r="A194" s="5" t="s">
        <v>830</v>
      </c>
      <c r="B194" s="6">
        <v>11949</v>
      </c>
      <c r="C194" s="6" t="str">
        <f>"Active/Unavailable"</f>
        <v>Active/Unavailable</v>
      </c>
      <c r="D194" s="5" t="s">
        <v>18</v>
      </c>
      <c r="E194" s="5" t="s">
        <v>831</v>
      </c>
      <c r="F194" s="5" t="s">
        <v>832</v>
      </c>
      <c r="G194" s="5" t="str">
        <f t="shared" si="44"/>
        <v>Not Available</v>
      </c>
      <c r="H194" s="5" t="s">
        <v>833</v>
      </c>
      <c r="I194" s="5" t="s">
        <v>22</v>
      </c>
      <c r="J194" s="5" t="s">
        <v>3389</v>
      </c>
      <c r="K194" s="5" t="s">
        <v>3394</v>
      </c>
      <c r="L194" s="5" t="s">
        <v>23</v>
      </c>
      <c r="M194" s="5" t="s">
        <v>3519</v>
      </c>
      <c r="N194" s="5" t="s">
        <v>834</v>
      </c>
      <c r="O194" s="5" t="s">
        <v>33</v>
      </c>
      <c r="P194" s="5" t="s">
        <v>26</v>
      </c>
      <c r="Q194" s="5" t="s">
        <v>34</v>
      </c>
      <c r="R194" s="5" t="str">
        <f>"0000"</f>
        <v>0000</v>
      </c>
      <c r="S194" s="5">
        <v>42.325425259154898</v>
      </c>
      <c r="T194" s="5">
        <v>-71.026612540000002</v>
      </c>
    </row>
    <row r="195" spans="1:20" x14ac:dyDescent="0.3">
      <c r="A195" s="5" t="s">
        <v>835</v>
      </c>
      <c r="B195" s="6">
        <v>26965</v>
      </c>
      <c r="C195" s="6">
        <v>41044</v>
      </c>
      <c r="D195" s="5" t="s">
        <v>100</v>
      </c>
      <c r="E195" s="5" t="s">
        <v>836</v>
      </c>
      <c r="F195" s="5" t="s">
        <v>837</v>
      </c>
      <c r="G195" s="5" t="str">
        <f t="shared" si="44"/>
        <v>Not Available</v>
      </c>
      <c r="H195" s="5" t="str">
        <f t="shared" ref="H195:H197" si="59">"Not Available"</f>
        <v>Not Available</v>
      </c>
      <c r="I195" s="5" t="s">
        <v>65</v>
      </c>
      <c r="J195" s="5" t="s">
        <v>3387</v>
      </c>
      <c r="K195" s="5" t="s">
        <v>3393</v>
      </c>
      <c r="L195" s="5" t="s">
        <v>23</v>
      </c>
      <c r="M195" s="5" t="s">
        <v>3520</v>
      </c>
      <c r="N195" s="5" t="s">
        <v>838</v>
      </c>
      <c r="O195" s="5" t="s">
        <v>25</v>
      </c>
      <c r="P195" s="5" t="s">
        <v>26</v>
      </c>
      <c r="Q195" s="5" t="s">
        <v>27</v>
      </c>
      <c r="R195" s="5">
        <v>2170</v>
      </c>
      <c r="S195" s="5">
        <v>42.3112327324841</v>
      </c>
      <c r="T195" s="5">
        <v>-71.05154958</v>
      </c>
    </row>
    <row r="196" spans="1:20" x14ac:dyDescent="0.3">
      <c r="A196" s="5" t="s">
        <v>839</v>
      </c>
      <c r="B196" s="6">
        <v>26965</v>
      </c>
      <c r="C196" s="6" t="str">
        <f t="shared" ref="C196:C199" si="60">"Active/Unavailable"</f>
        <v>Active/Unavailable</v>
      </c>
      <c r="D196" s="5" t="s">
        <v>100</v>
      </c>
      <c r="E196" s="5" t="s">
        <v>840</v>
      </c>
      <c r="F196" s="5" t="s">
        <v>379</v>
      </c>
      <c r="G196" s="5" t="str">
        <f t="shared" si="44"/>
        <v>Not Available</v>
      </c>
      <c r="H196" s="5" t="str">
        <f t="shared" si="59"/>
        <v>Not Available</v>
      </c>
      <c r="I196" s="5" t="s">
        <v>65</v>
      </c>
      <c r="J196" s="5" t="s">
        <v>3387</v>
      </c>
      <c r="K196" s="5" t="s">
        <v>3393</v>
      </c>
      <c r="L196" s="5" t="s">
        <v>23</v>
      </c>
      <c r="M196" s="5" t="s">
        <v>3521</v>
      </c>
      <c r="N196" s="5" t="s">
        <v>841</v>
      </c>
      <c r="O196" s="5" t="s">
        <v>25</v>
      </c>
      <c r="P196" s="5" t="s">
        <v>26</v>
      </c>
      <c r="Q196" s="5" t="s">
        <v>27</v>
      </c>
      <c r="R196" s="5">
        <v>2170</v>
      </c>
      <c r="S196" s="5">
        <v>42.281267847040503</v>
      </c>
      <c r="T196" s="5">
        <v>-70.954030180000004</v>
      </c>
    </row>
    <row r="197" spans="1:20" x14ac:dyDescent="0.3">
      <c r="A197" s="5" t="s">
        <v>842</v>
      </c>
      <c r="B197" s="6">
        <v>32334</v>
      </c>
      <c r="C197" s="6" t="str">
        <f t="shared" si="60"/>
        <v>Active/Unavailable</v>
      </c>
      <c r="D197" s="5" t="s">
        <v>29</v>
      </c>
      <c r="E197" s="5" t="s">
        <v>843</v>
      </c>
      <c r="F197" s="5" t="s">
        <v>291</v>
      </c>
      <c r="G197" s="5" t="str">
        <f t="shared" si="44"/>
        <v>Not Available</v>
      </c>
      <c r="H197" s="5" t="str">
        <f t="shared" si="59"/>
        <v>Not Available</v>
      </c>
      <c r="I197" s="5" t="s">
        <v>65</v>
      </c>
      <c r="J197" s="5" t="s">
        <v>3387</v>
      </c>
      <c r="K197" s="5" t="s">
        <v>3393</v>
      </c>
      <c r="L197" s="5" t="s">
        <v>22</v>
      </c>
      <c r="M197" s="5" t="s">
        <v>3522</v>
      </c>
      <c r="N197" s="5" t="s">
        <v>844</v>
      </c>
      <c r="O197" s="5" t="s">
        <v>845</v>
      </c>
      <c r="P197" s="5" t="s">
        <v>26</v>
      </c>
      <c r="Q197" s="5" t="s">
        <v>57</v>
      </c>
      <c r="R197" s="5" t="str">
        <f>"0000"</f>
        <v>0000</v>
      </c>
      <c r="S197" s="5">
        <v>42.456254524327598</v>
      </c>
      <c r="T197" s="5">
        <v>-71.091626180000006</v>
      </c>
    </row>
    <row r="198" spans="1:20" x14ac:dyDescent="0.3">
      <c r="A198" s="5" t="s">
        <v>846</v>
      </c>
      <c r="B198" s="6">
        <v>17956</v>
      </c>
      <c r="C198" s="6" t="str">
        <f t="shared" si="60"/>
        <v>Active/Unavailable</v>
      </c>
      <c r="D198" s="5" t="s">
        <v>18</v>
      </c>
      <c r="E198" s="5" t="s">
        <v>847</v>
      </c>
      <c r="F198" s="5" t="s">
        <v>234</v>
      </c>
      <c r="G198" s="5" t="str">
        <f t="shared" si="44"/>
        <v>Not Available</v>
      </c>
      <c r="H198" s="5" t="s">
        <v>848</v>
      </c>
      <c r="I198" s="5" t="s">
        <v>22</v>
      </c>
      <c r="J198" s="5" t="s">
        <v>3387</v>
      </c>
      <c r="K198" s="5" t="s">
        <v>3394</v>
      </c>
      <c r="L198" s="5" t="s">
        <v>23</v>
      </c>
      <c r="M198" s="5" t="s">
        <v>3523</v>
      </c>
      <c r="N198" s="5" t="s">
        <v>849</v>
      </c>
      <c r="O198" s="5" t="s">
        <v>33</v>
      </c>
      <c r="P198" s="5" t="s">
        <v>26</v>
      </c>
      <c r="Q198" s="5" t="s">
        <v>34</v>
      </c>
      <c r="R198" s="5">
        <v>2131</v>
      </c>
      <c r="S198" s="5">
        <v>42.365974420000001</v>
      </c>
      <c r="T198" s="5">
        <v>-71.115537959999997</v>
      </c>
    </row>
    <row r="199" spans="1:20" x14ac:dyDescent="0.3">
      <c r="A199" s="5" t="s">
        <v>850</v>
      </c>
      <c r="B199" s="6">
        <v>13601</v>
      </c>
      <c r="C199" s="6" t="str">
        <f t="shared" si="60"/>
        <v>Active/Unavailable</v>
      </c>
      <c r="D199" s="5" t="s">
        <v>29</v>
      </c>
      <c r="E199" s="5" t="s">
        <v>851</v>
      </c>
      <c r="F199" s="5" t="s">
        <v>852</v>
      </c>
      <c r="G199" s="5" t="str">
        <f t="shared" si="44"/>
        <v>Not Available</v>
      </c>
      <c r="H199" s="5" t="str">
        <f t="shared" ref="H199:H202" si="61">"Not Available"</f>
        <v>Not Available</v>
      </c>
      <c r="I199" s="5" t="s">
        <v>65</v>
      </c>
      <c r="J199" s="5" t="s">
        <v>3387</v>
      </c>
      <c r="K199" s="5" t="s">
        <v>3393</v>
      </c>
      <c r="L199" s="5" t="s">
        <v>22</v>
      </c>
      <c r="M199" s="5" t="s">
        <v>3417</v>
      </c>
      <c r="N199" s="5" t="s">
        <v>853</v>
      </c>
      <c r="O199" s="5" t="s">
        <v>574</v>
      </c>
      <c r="P199" s="5" t="s">
        <v>26</v>
      </c>
      <c r="Q199" s="5" t="s">
        <v>27</v>
      </c>
      <c r="R199" s="5">
        <v>2467</v>
      </c>
      <c r="S199" s="5">
        <v>42.372676573966999</v>
      </c>
      <c r="T199" s="5">
        <v>-71.121361739999998</v>
      </c>
    </row>
    <row r="200" spans="1:20" x14ac:dyDescent="0.3">
      <c r="A200" s="5" t="s">
        <v>854</v>
      </c>
      <c r="B200" s="6">
        <v>19962</v>
      </c>
      <c r="C200" s="6">
        <v>41199</v>
      </c>
      <c r="D200" s="5" t="s">
        <v>29</v>
      </c>
      <c r="E200" s="5" t="s">
        <v>855</v>
      </c>
      <c r="F200" s="5" t="s">
        <v>856</v>
      </c>
      <c r="G200" s="5" t="str">
        <f t="shared" si="44"/>
        <v>Not Available</v>
      </c>
      <c r="H200" s="5" t="str">
        <f t="shared" si="61"/>
        <v>Not Available</v>
      </c>
      <c r="I200" s="5" t="s">
        <v>22</v>
      </c>
      <c r="J200" s="5" t="s">
        <v>3387</v>
      </c>
      <c r="K200" s="5" t="s">
        <v>3393</v>
      </c>
      <c r="L200" s="5" t="s">
        <v>22</v>
      </c>
      <c r="M200" s="5" t="s">
        <v>3510</v>
      </c>
      <c r="N200" s="5" t="s">
        <v>857</v>
      </c>
      <c r="O200" s="5" t="s">
        <v>33</v>
      </c>
      <c r="P200" s="5" t="s">
        <v>26</v>
      </c>
      <c r="Q200" s="5" t="s">
        <v>34</v>
      </c>
      <c r="R200" s="5">
        <v>2111</v>
      </c>
      <c r="S200" s="5">
        <v>42.344093447889698</v>
      </c>
      <c r="T200" s="5">
        <v>-71.040881940000006</v>
      </c>
    </row>
    <row r="201" spans="1:20" x14ac:dyDescent="0.3">
      <c r="A201" s="5" t="s">
        <v>858</v>
      </c>
      <c r="B201" s="6">
        <v>16555</v>
      </c>
      <c r="C201" s="6" t="str">
        <f t="shared" ref="C201:C225" si="62">"Active/Unavailable"</f>
        <v>Active/Unavailable</v>
      </c>
      <c r="D201" s="5" t="s">
        <v>29</v>
      </c>
      <c r="E201" s="5" t="s">
        <v>859</v>
      </c>
      <c r="F201" s="5" t="s">
        <v>484</v>
      </c>
      <c r="G201" s="5" t="str">
        <f t="shared" si="44"/>
        <v>Not Available</v>
      </c>
      <c r="H201" s="5" t="str">
        <f t="shared" si="61"/>
        <v>Not Available</v>
      </c>
      <c r="I201" s="5" t="s">
        <v>22</v>
      </c>
      <c r="J201" s="5" t="s">
        <v>3387</v>
      </c>
      <c r="K201" s="5" t="s">
        <v>3393</v>
      </c>
      <c r="L201" s="5" t="s">
        <v>22</v>
      </c>
      <c r="M201" s="5" t="s">
        <v>3405</v>
      </c>
      <c r="N201" s="5" t="s">
        <v>860</v>
      </c>
      <c r="O201" s="5" t="s">
        <v>33</v>
      </c>
      <c r="P201" s="5" t="s">
        <v>26</v>
      </c>
      <c r="Q201" s="5" t="s">
        <v>34</v>
      </c>
      <c r="R201" s="5">
        <v>2210</v>
      </c>
      <c r="S201" s="5">
        <v>42.322530044637801</v>
      </c>
      <c r="T201" s="5">
        <v>-71.119644300000004</v>
      </c>
    </row>
    <row r="202" spans="1:20" x14ac:dyDescent="0.3">
      <c r="A202" s="5" t="s">
        <v>861</v>
      </c>
      <c r="B202" s="6">
        <v>19962</v>
      </c>
      <c r="C202" s="6" t="str">
        <f t="shared" si="62"/>
        <v>Active/Unavailable</v>
      </c>
      <c r="D202" s="5" t="s">
        <v>29</v>
      </c>
      <c r="E202" s="5" t="s">
        <v>862</v>
      </c>
      <c r="F202" s="5" t="s">
        <v>480</v>
      </c>
      <c r="G202" s="5" t="str">
        <f t="shared" si="44"/>
        <v>Not Available</v>
      </c>
      <c r="H202" s="5" t="str">
        <f t="shared" si="61"/>
        <v>Not Available</v>
      </c>
      <c r="I202" s="5" t="s">
        <v>22</v>
      </c>
      <c r="J202" s="5" t="s">
        <v>3387</v>
      </c>
      <c r="K202" s="5" t="s">
        <v>3393</v>
      </c>
      <c r="L202" s="5" t="s">
        <v>22</v>
      </c>
      <c r="M202" s="5" t="s">
        <v>3524</v>
      </c>
      <c r="N202" s="5" t="s">
        <v>863</v>
      </c>
      <c r="O202" s="5" t="s">
        <v>33</v>
      </c>
      <c r="P202" s="5" t="s">
        <v>26</v>
      </c>
      <c r="Q202" s="5" t="s">
        <v>34</v>
      </c>
      <c r="R202" s="5">
        <v>2136</v>
      </c>
      <c r="S202" s="5">
        <v>42.326577944864198</v>
      </c>
      <c r="T202" s="5">
        <v>-71.070774380000003</v>
      </c>
    </row>
    <row r="203" spans="1:20" x14ac:dyDescent="0.3">
      <c r="A203" s="5" t="s">
        <v>864</v>
      </c>
      <c r="B203" s="6">
        <v>11098</v>
      </c>
      <c r="C203" s="6" t="str">
        <f t="shared" si="62"/>
        <v>Active/Unavailable</v>
      </c>
      <c r="D203" s="5" t="s">
        <v>18</v>
      </c>
      <c r="E203" s="5" t="s">
        <v>865</v>
      </c>
      <c r="F203" s="5" t="s">
        <v>3362</v>
      </c>
      <c r="G203" s="5" t="str">
        <f t="shared" si="44"/>
        <v>Not Available</v>
      </c>
      <c r="H203" s="5" t="s">
        <v>866</v>
      </c>
      <c r="I203" s="5" t="s">
        <v>22</v>
      </c>
      <c r="J203" s="5" t="s">
        <v>3387</v>
      </c>
      <c r="K203" s="5" t="s">
        <v>3393</v>
      </c>
      <c r="L203" s="5" t="s">
        <v>23</v>
      </c>
      <c r="M203" s="5" t="s">
        <v>3427</v>
      </c>
      <c r="N203" s="5" t="s">
        <v>867</v>
      </c>
      <c r="O203" s="5" t="s">
        <v>33</v>
      </c>
      <c r="P203" s="5" t="s">
        <v>26</v>
      </c>
      <c r="Q203" s="5" t="s">
        <v>34</v>
      </c>
      <c r="R203" s="5">
        <v>2113</v>
      </c>
      <c r="S203" s="5">
        <v>42.363634768411501</v>
      </c>
      <c r="T203" s="5">
        <v>-71.080413859999993</v>
      </c>
    </row>
    <row r="204" spans="1:20" x14ac:dyDescent="0.3">
      <c r="A204" s="5" t="s">
        <v>868</v>
      </c>
      <c r="B204" s="6">
        <v>11335</v>
      </c>
      <c r="C204" s="6" t="str">
        <f t="shared" si="62"/>
        <v>Active/Unavailable</v>
      </c>
      <c r="D204" s="5" t="s">
        <v>18</v>
      </c>
      <c r="E204" s="5" t="s">
        <v>869</v>
      </c>
      <c r="F204" s="5" t="s">
        <v>625</v>
      </c>
      <c r="G204" s="5" t="str">
        <f t="shared" si="44"/>
        <v>Not Available</v>
      </c>
      <c r="H204" s="5" t="s">
        <v>870</v>
      </c>
      <c r="I204" s="5" t="s">
        <v>22</v>
      </c>
      <c r="J204" s="5" t="s">
        <v>3387</v>
      </c>
      <c r="K204" s="5" t="s">
        <v>3393</v>
      </c>
      <c r="L204" s="5" t="s">
        <v>23</v>
      </c>
      <c r="M204" s="5" t="s">
        <v>3525</v>
      </c>
      <c r="N204" s="5" t="s">
        <v>871</v>
      </c>
      <c r="O204" s="5" t="s">
        <v>209</v>
      </c>
      <c r="P204" s="5" t="s">
        <v>26</v>
      </c>
      <c r="Q204" s="5" t="s">
        <v>27</v>
      </c>
      <c r="R204" s="5" t="str">
        <f t="shared" ref="R204:R205" si="63">"0000"</f>
        <v>0000</v>
      </c>
      <c r="S204" s="5">
        <v>42.2502376123186</v>
      </c>
      <c r="T204" s="5">
        <v>-70.988447170000001</v>
      </c>
    </row>
    <row r="205" spans="1:20" x14ac:dyDescent="0.3">
      <c r="A205" s="5" t="s">
        <v>872</v>
      </c>
      <c r="B205" s="6">
        <v>26809</v>
      </c>
      <c r="C205" s="6" t="str">
        <f t="shared" si="62"/>
        <v>Active/Unavailable</v>
      </c>
      <c r="D205" s="5" t="s">
        <v>100</v>
      </c>
      <c r="E205" s="5" t="s">
        <v>873</v>
      </c>
      <c r="F205" s="5" t="s">
        <v>874</v>
      </c>
      <c r="G205" s="5" t="str">
        <f t="shared" si="44"/>
        <v>Not Available</v>
      </c>
      <c r="H205" s="5" t="str">
        <f t="shared" ref="H205:H208" si="64">"Not Available"</f>
        <v>Not Available</v>
      </c>
      <c r="I205" s="5" t="s">
        <v>65</v>
      </c>
      <c r="J205" s="5" t="s">
        <v>3387</v>
      </c>
      <c r="K205" s="5" t="s">
        <v>3393</v>
      </c>
      <c r="L205" s="5" t="s">
        <v>23</v>
      </c>
      <c r="M205" s="5" t="s">
        <v>3526</v>
      </c>
      <c r="N205" s="5" t="s">
        <v>875</v>
      </c>
      <c r="O205" s="5" t="s">
        <v>136</v>
      </c>
      <c r="P205" s="5" t="s">
        <v>26</v>
      </c>
      <c r="Q205" s="5" t="s">
        <v>27</v>
      </c>
      <c r="R205" s="5" t="str">
        <f t="shared" si="63"/>
        <v>0000</v>
      </c>
      <c r="S205" s="5">
        <v>42.220913993260297</v>
      </c>
      <c r="T205" s="5">
        <v>-70.784430790000002</v>
      </c>
    </row>
    <row r="206" spans="1:20" x14ac:dyDescent="0.3">
      <c r="A206" s="5" t="s">
        <v>876</v>
      </c>
      <c r="B206" s="6">
        <v>24505</v>
      </c>
      <c r="C206" s="6" t="str">
        <f t="shared" si="62"/>
        <v>Active/Unavailable</v>
      </c>
      <c r="D206" s="5" t="s">
        <v>29</v>
      </c>
      <c r="E206" s="5" t="s">
        <v>877</v>
      </c>
      <c r="F206" s="5" t="s">
        <v>3363</v>
      </c>
      <c r="G206" s="5" t="str">
        <f t="shared" si="44"/>
        <v>Not Available</v>
      </c>
      <c r="H206" s="5" t="str">
        <f t="shared" si="64"/>
        <v>Not Available</v>
      </c>
      <c r="I206" s="5" t="s">
        <v>22</v>
      </c>
      <c r="J206" s="5" t="s">
        <v>3387</v>
      </c>
      <c r="K206" s="5" t="s">
        <v>3394</v>
      </c>
      <c r="L206" s="5" t="s">
        <v>22</v>
      </c>
      <c r="M206" s="5" t="s">
        <v>3473</v>
      </c>
      <c r="N206" s="5" t="s">
        <v>878</v>
      </c>
      <c r="O206" s="5" t="s">
        <v>33</v>
      </c>
      <c r="P206" s="5" t="s">
        <v>26</v>
      </c>
      <c r="Q206" s="5" t="s">
        <v>34</v>
      </c>
      <c r="R206" s="5">
        <v>2126</v>
      </c>
      <c r="S206" s="5">
        <v>42.332746286107302</v>
      </c>
      <c r="T206" s="5">
        <v>-71.058226989999994</v>
      </c>
    </row>
    <row r="207" spans="1:20" x14ac:dyDescent="0.3">
      <c r="A207" s="5" t="s">
        <v>879</v>
      </c>
      <c r="B207" s="6">
        <v>20373</v>
      </c>
      <c r="C207" s="6" t="str">
        <f t="shared" si="62"/>
        <v>Active/Unavailable</v>
      </c>
      <c r="D207" s="5" t="s">
        <v>29</v>
      </c>
      <c r="E207" s="5" t="s">
        <v>880</v>
      </c>
      <c r="F207" s="5" t="s">
        <v>881</v>
      </c>
      <c r="G207" s="5" t="str">
        <f t="shared" si="44"/>
        <v>Not Available</v>
      </c>
      <c r="H207" s="5" t="str">
        <f t="shared" si="64"/>
        <v>Not Available</v>
      </c>
      <c r="I207" s="5" t="s">
        <v>22</v>
      </c>
      <c r="J207" s="5" t="s">
        <v>3387</v>
      </c>
      <c r="K207" s="5" t="s">
        <v>3393</v>
      </c>
      <c r="L207" s="5" t="s">
        <v>22</v>
      </c>
      <c r="M207" s="5" t="s">
        <v>3435</v>
      </c>
      <c r="N207" s="5" t="s">
        <v>882</v>
      </c>
      <c r="O207" s="5" t="s">
        <v>316</v>
      </c>
      <c r="P207" s="5" t="s">
        <v>26</v>
      </c>
      <c r="Q207" s="5" t="s">
        <v>317</v>
      </c>
      <c r="R207" s="5">
        <v>2043</v>
      </c>
      <c r="S207" s="5">
        <v>42.2273101643367</v>
      </c>
      <c r="T207" s="5">
        <v>-70.881138789999994</v>
      </c>
    </row>
    <row r="208" spans="1:20" x14ac:dyDescent="0.3">
      <c r="A208" s="5" t="s">
        <v>883</v>
      </c>
      <c r="B208" s="6">
        <v>22689</v>
      </c>
      <c r="C208" s="6" t="str">
        <f t="shared" si="62"/>
        <v>Active/Unavailable</v>
      </c>
      <c r="D208" s="5" t="s">
        <v>29</v>
      </c>
      <c r="E208" s="5" t="s">
        <v>884</v>
      </c>
      <c r="F208" s="5" t="s">
        <v>885</v>
      </c>
      <c r="G208" s="5" t="str">
        <f t="shared" si="44"/>
        <v>Not Available</v>
      </c>
      <c r="H208" s="5" t="str">
        <f t="shared" si="64"/>
        <v>Not Available</v>
      </c>
      <c r="I208" s="5" t="s">
        <v>65</v>
      </c>
      <c r="J208" s="5" t="s">
        <v>3390</v>
      </c>
      <c r="K208" s="5" t="s">
        <v>3394</v>
      </c>
      <c r="L208" s="5" t="s">
        <v>22</v>
      </c>
      <c r="M208" s="5" t="s">
        <v>3433</v>
      </c>
      <c r="N208" s="5" t="s">
        <v>886</v>
      </c>
      <c r="O208" s="5" t="s">
        <v>33</v>
      </c>
      <c r="P208" s="5" t="s">
        <v>26</v>
      </c>
      <c r="Q208" s="5" t="s">
        <v>34</v>
      </c>
      <c r="R208" s="5">
        <v>2163</v>
      </c>
      <c r="S208" s="5">
        <v>42.324377331612702</v>
      </c>
      <c r="T208" s="5">
        <v>-71.084641430000005</v>
      </c>
    </row>
    <row r="209" spans="1:20" x14ac:dyDescent="0.3">
      <c r="A209" s="5" t="s">
        <v>887</v>
      </c>
      <c r="B209" s="6">
        <v>25959</v>
      </c>
      <c r="C209" s="6" t="str">
        <f t="shared" si="62"/>
        <v>Active/Unavailable</v>
      </c>
      <c r="D209" s="5" t="s">
        <v>18</v>
      </c>
      <c r="E209" s="5" t="s">
        <v>888</v>
      </c>
      <c r="F209" s="5" t="s">
        <v>889</v>
      </c>
      <c r="G209" s="5" t="str">
        <f t="shared" si="44"/>
        <v>Not Available</v>
      </c>
      <c r="H209" s="5" t="s">
        <v>890</v>
      </c>
      <c r="I209" s="5" t="s">
        <v>22</v>
      </c>
      <c r="J209" s="5" t="s">
        <v>3389</v>
      </c>
      <c r="K209" s="5" t="s">
        <v>3393</v>
      </c>
      <c r="L209" s="5" t="s">
        <v>23</v>
      </c>
      <c r="M209" s="5" t="s">
        <v>3494</v>
      </c>
      <c r="N209" s="5" t="s">
        <v>891</v>
      </c>
      <c r="O209" s="5" t="s">
        <v>33</v>
      </c>
      <c r="P209" s="5" t="s">
        <v>26</v>
      </c>
      <c r="Q209" s="5" t="s">
        <v>34</v>
      </c>
      <c r="R209" s="5">
        <v>2113</v>
      </c>
      <c r="S209" s="5">
        <v>42.385637952489397</v>
      </c>
      <c r="T209" s="5">
        <v>-70.978855269999997</v>
      </c>
    </row>
    <row r="210" spans="1:20" x14ac:dyDescent="0.3">
      <c r="A210" s="5" t="s">
        <v>892</v>
      </c>
      <c r="B210" s="6">
        <v>17169</v>
      </c>
      <c r="C210" s="6" t="str">
        <f t="shared" si="62"/>
        <v>Active/Unavailable</v>
      </c>
      <c r="D210" s="5" t="s">
        <v>29</v>
      </c>
      <c r="E210" s="5" t="s">
        <v>893</v>
      </c>
      <c r="F210" s="5" t="s">
        <v>3364</v>
      </c>
      <c r="G210" s="5" t="str">
        <f t="shared" si="44"/>
        <v>Not Available</v>
      </c>
      <c r="H210" s="5" t="str">
        <f t="shared" ref="H210:H211" si="65">"Not Available"</f>
        <v>Not Available</v>
      </c>
      <c r="I210" s="5" t="s">
        <v>22</v>
      </c>
      <c r="J210" s="5" t="s">
        <v>3387</v>
      </c>
      <c r="K210" s="5" t="s">
        <v>3394</v>
      </c>
      <c r="L210" s="5" t="s">
        <v>22</v>
      </c>
      <c r="M210" s="5" t="s">
        <v>3511</v>
      </c>
      <c r="N210" s="5" t="s">
        <v>894</v>
      </c>
      <c r="O210" s="5" t="s">
        <v>33</v>
      </c>
      <c r="P210" s="5" t="s">
        <v>26</v>
      </c>
      <c r="Q210" s="5" t="s">
        <v>34</v>
      </c>
      <c r="R210" s="5">
        <v>2199</v>
      </c>
      <c r="S210" s="5">
        <v>42.278999353828702</v>
      </c>
      <c r="T210" s="5">
        <v>-71.012820230000003</v>
      </c>
    </row>
    <row r="211" spans="1:20" x14ac:dyDescent="0.3">
      <c r="A211" s="5" t="s">
        <v>895</v>
      </c>
      <c r="B211" s="6">
        <v>20817</v>
      </c>
      <c r="C211" s="6" t="str">
        <f t="shared" si="62"/>
        <v>Active/Unavailable</v>
      </c>
      <c r="D211" s="5" t="s">
        <v>29</v>
      </c>
      <c r="E211" s="5" t="s">
        <v>896</v>
      </c>
      <c r="F211" s="5" t="s">
        <v>362</v>
      </c>
      <c r="G211" s="5" t="str">
        <f t="shared" si="44"/>
        <v>Not Available</v>
      </c>
      <c r="H211" s="5" t="str">
        <f t="shared" si="65"/>
        <v>Not Available</v>
      </c>
      <c r="I211" s="5" t="s">
        <v>65</v>
      </c>
      <c r="J211" s="5" t="s">
        <v>3388</v>
      </c>
      <c r="K211" s="5" t="s">
        <v>3393</v>
      </c>
      <c r="L211" s="5" t="s">
        <v>22</v>
      </c>
      <c r="M211" s="5" t="s">
        <v>3527</v>
      </c>
      <c r="N211" s="5" t="s">
        <v>897</v>
      </c>
      <c r="O211" s="5" t="s">
        <v>486</v>
      </c>
      <c r="P211" s="5" t="s">
        <v>26</v>
      </c>
      <c r="Q211" s="5" t="s">
        <v>34</v>
      </c>
      <c r="R211" s="5">
        <v>2152</v>
      </c>
      <c r="S211" s="5">
        <v>42.395537958997302</v>
      </c>
      <c r="T211" s="5">
        <v>-70.930775420000003</v>
      </c>
    </row>
    <row r="212" spans="1:20" x14ac:dyDescent="0.3">
      <c r="A212" s="5" t="s">
        <v>898</v>
      </c>
      <c r="B212" s="6">
        <v>29746</v>
      </c>
      <c r="C212" s="6" t="str">
        <f t="shared" si="62"/>
        <v>Active/Unavailable</v>
      </c>
      <c r="D212" s="5" t="s">
        <v>18</v>
      </c>
      <c r="E212" s="5" t="s">
        <v>899</v>
      </c>
      <c r="F212" s="5" t="s">
        <v>900</v>
      </c>
      <c r="G212" s="5" t="str">
        <f t="shared" si="44"/>
        <v>Not Available</v>
      </c>
      <c r="H212" s="5" t="s">
        <v>901</v>
      </c>
      <c r="I212" s="5" t="s">
        <v>22</v>
      </c>
      <c r="J212" s="5" t="s">
        <v>3391</v>
      </c>
      <c r="K212" s="5" t="s">
        <v>3393</v>
      </c>
      <c r="L212" s="5" t="s">
        <v>23</v>
      </c>
      <c r="M212" s="5" t="s">
        <v>3447</v>
      </c>
      <c r="N212" s="5" t="s">
        <v>902</v>
      </c>
      <c r="O212" s="5" t="s">
        <v>33</v>
      </c>
      <c r="P212" s="5" t="s">
        <v>26</v>
      </c>
      <c r="Q212" s="5" t="s">
        <v>34</v>
      </c>
      <c r="R212" s="5">
        <v>2126</v>
      </c>
      <c r="S212" s="5">
        <v>42.309545884846997</v>
      </c>
      <c r="T212" s="5">
        <v>-71.054882820000003</v>
      </c>
    </row>
    <row r="213" spans="1:20" x14ac:dyDescent="0.3">
      <c r="A213" s="5" t="s">
        <v>903</v>
      </c>
      <c r="B213" s="6">
        <v>20484</v>
      </c>
      <c r="C213" s="6" t="str">
        <f t="shared" si="62"/>
        <v>Active/Unavailable</v>
      </c>
      <c r="D213" s="5" t="s">
        <v>18</v>
      </c>
      <c r="E213" s="5" t="s">
        <v>904</v>
      </c>
      <c r="F213" s="5" t="s">
        <v>905</v>
      </c>
      <c r="G213" s="5" t="str">
        <f t="shared" si="44"/>
        <v>Not Available</v>
      </c>
      <c r="H213" s="5" t="s">
        <v>906</v>
      </c>
      <c r="I213" s="5" t="s">
        <v>22</v>
      </c>
      <c r="J213" s="5" t="s">
        <v>3387</v>
      </c>
      <c r="K213" s="5" t="s">
        <v>3393</v>
      </c>
      <c r="L213" s="5" t="s">
        <v>23</v>
      </c>
      <c r="M213" s="5" t="s">
        <v>3400</v>
      </c>
      <c r="N213" s="5" t="s">
        <v>907</v>
      </c>
      <c r="O213" s="5" t="s">
        <v>354</v>
      </c>
      <c r="P213" s="5" t="s">
        <v>26</v>
      </c>
      <c r="Q213" s="5" t="s">
        <v>57</v>
      </c>
      <c r="R213" s="5">
        <v>2460</v>
      </c>
      <c r="S213" s="5">
        <v>42.348949077610001</v>
      </c>
      <c r="T213" s="5">
        <v>-71.147172019999999</v>
      </c>
    </row>
    <row r="214" spans="1:20" x14ac:dyDescent="0.3">
      <c r="A214" s="5" t="s">
        <v>908</v>
      </c>
      <c r="B214" s="6">
        <v>19675</v>
      </c>
      <c r="C214" s="6" t="str">
        <f t="shared" si="62"/>
        <v>Active/Unavailable</v>
      </c>
      <c r="D214" s="5" t="s">
        <v>100</v>
      </c>
      <c r="E214" s="5" t="s">
        <v>909</v>
      </c>
      <c r="F214" s="5" t="s">
        <v>910</v>
      </c>
      <c r="G214" s="5" t="str">
        <f t="shared" si="44"/>
        <v>Not Available</v>
      </c>
      <c r="H214" s="5" t="str">
        <f t="shared" ref="H214:H215" si="66">"Not Available"</f>
        <v>Not Available</v>
      </c>
      <c r="I214" s="5" t="s">
        <v>65</v>
      </c>
      <c r="J214" s="5" t="s">
        <v>3389</v>
      </c>
      <c r="K214" s="5" t="s">
        <v>3393</v>
      </c>
      <c r="L214" s="5" t="s">
        <v>23</v>
      </c>
      <c r="M214" s="5" t="s">
        <v>3528</v>
      </c>
      <c r="N214" s="5" t="s">
        <v>911</v>
      </c>
      <c r="O214" s="5" t="s">
        <v>33</v>
      </c>
      <c r="P214" s="5" t="s">
        <v>26</v>
      </c>
      <c r="Q214" s="5" t="s">
        <v>34</v>
      </c>
      <c r="R214" s="5">
        <v>2118</v>
      </c>
      <c r="S214" s="5">
        <v>42.297404032386197</v>
      </c>
      <c r="T214" s="5">
        <v>-70.999421900000002</v>
      </c>
    </row>
    <row r="215" spans="1:20" x14ac:dyDescent="0.3">
      <c r="A215" s="5" t="s">
        <v>912</v>
      </c>
      <c r="B215" s="6">
        <v>32485</v>
      </c>
      <c r="C215" s="6" t="str">
        <f t="shared" si="62"/>
        <v>Active/Unavailable</v>
      </c>
      <c r="D215" s="5" t="s">
        <v>29</v>
      </c>
      <c r="E215" s="5" t="s">
        <v>308</v>
      </c>
      <c r="F215" s="5" t="s">
        <v>913</v>
      </c>
      <c r="G215" s="5" t="str">
        <f t="shared" ref="G215:G278" si="67">"Not Available"</f>
        <v>Not Available</v>
      </c>
      <c r="H215" s="5" t="str">
        <f t="shared" si="66"/>
        <v>Not Available</v>
      </c>
      <c r="I215" s="5" t="s">
        <v>22</v>
      </c>
      <c r="J215" s="5" t="s">
        <v>3387</v>
      </c>
      <c r="K215" s="5" t="s">
        <v>3393</v>
      </c>
      <c r="L215" s="5" t="s">
        <v>22</v>
      </c>
      <c r="M215" s="5" t="s">
        <v>3529</v>
      </c>
      <c r="N215" s="5" t="s">
        <v>914</v>
      </c>
      <c r="O215" s="5" t="s">
        <v>574</v>
      </c>
      <c r="P215" s="5" t="s">
        <v>26</v>
      </c>
      <c r="Q215" s="5" t="s">
        <v>27</v>
      </c>
      <c r="R215" s="5">
        <v>2445</v>
      </c>
      <c r="S215" s="5">
        <v>42.322034078347798</v>
      </c>
      <c r="T215" s="5">
        <v>-71.075140739999995</v>
      </c>
    </row>
    <row r="216" spans="1:20" x14ac:dyDescent="0.3">
      <c r="A216" s="5" t="s">
        <v>915</v>
      </c>
      <c r="B216" s="6">
        <v>13073</v>
      </c>
      <c r="C216" s="6" t="str">
        <f t="shared" si="62"/>
        <v>Active/Unavailable</v>
      </c>
      <c r="D216" s="5" t="s">
        <v>18</v>
      </c>
      <c r="E216" s="5" t="s">
        <v>843</v>
      </c>
      <c r="F216" s="5" t="s">
        <v>916</v>
      </c>
      <c r="G216" s="5" t="str">
        <f t="shared" si="67"/>
        <v>Not Available</v>
      </c>
      <c r="H216" s="5" t="s">
        <v>917</v>
      </c>
      <c r="I216" s="5" t="s">
        <v>22</v>
      </c>
      <c r="J216" s="5" t="s">
        <v>3387</v>
      </c>
      <c r="K216" s="5" t="s">
        <v>3394</v>
      </c>
      <c r="L216" s="5" t="s">
        <v>23</v>
      </c>
      <c r="M216" s="5" t="s">
        <v>3426</v>
      </c>
      <c r="N216" s="5" t="s">
        <v>918</v>
      </c>
      <c r="O216" s="5" t="s">
        <v>33</v>
      </c>
      <c r="P216" s="5" t="s">
        <v>26</v>
      </c>
      <c r="Q216" s="5" t="s">
        <v>34</v>
      </c>
      <c r="R216" s="5">
        <v>2115</v>
      </c>
      <c r="S216" s="5">
        <v>42.299268083755898</v>
      </c>
      <c r="T216" s="5">
        <v>-71.057311510000005</v>
      </c>
    </row>
    <row r="217" spans="1:20" x14ac:dyDescent="0.3">
      <c r="A217" s="5" t="s">
        <v>919</v>
      </c>
      <c r="B217" s="6">
        <v>18011</v>
      </c>
      <c r="C217" s="6" t="str">
        <f t="shared" si="62"/>
        <v>Active/Unavailable</v>
      </c>
      <c r="D217" s="5" t="s">
        <v>29</v>
      </c>
      <c r="E217" s="5" t="s">
        <v>920</v>
      </c>
      <c r="F217" s="5" t="s">
        <v>921</v>
      </c>
      <c r="G217" s="5" t="str">
        <f t="shared" si="67"/>
        <v>Not Available</v>
      </c>
      <c r="H217" s="5" t="str">
        <f t="shared" ref="H217:H218" si="68">"Not Available"</f>
        <v>Not Available</v>
      </c>
      <c r="I217" s="5" t="s">
        <v>22</v>
      </c>
      <c r="J217" s="5" t="s">
        <v>3387</v>
      </c>
      <c r="K217" s="5" t="s">
        <v>3393</v>
      </c>
      <c r="L217" s="5" t="s">
        <v>22</v>
      </c>
      <c r="M217" s="5" t="s">
        <v>3530</v>
      </c>
      <c r="N217" s="5" t="s">
        <v>922</v>
      </c>
      <c r="O217" s="5" t="s">
        <v>33</v>
      </c>
      <c r="P217" s="5" t="s">
        <v>26</v>
      </c>
      <c r="Q217" s="5" t="s">
        <v>34</v>
      </c>
      <c r="R217" s="5">
        <v>2136</v>
      </c>
      <c r="S217" s="5">
        <v>42.4052867496696</v>
      </c>
      <c r="T217" s="5">
        <v>-71.086095569999998</v>
      </c>
    </row>
    <row r="218" spans="1:20" x14ac:dyDescent="0.3">
      <c r="A218" s="5" t="s">
        <v>923</v>
      </c>
      <c r="B218" s="6">
        <v>20094</v>
      </c>
      <c r="C218" s="6" t="str">
        <f t="shared" si="62"/>
        <v>Active/Unavailable</v>
      </c>
      <c r="D218" s="5" t="s">
        <v>100</v>
      </c>
      <c r="E218" s="5" t="s">
        <v>924</v>
      </c>
      <c r="F218" s="5" t="s">
        <v>925</v>
      </c>
      <c r="G218" s="5" t="str">
        <f t="shared" si="67"/>
        <v>Not Available</v>
      </c>
      <c r="H218" s="5" t="str">
        <f t="shared" si="68"/>
        <v>Not Available</v>
      </c>
      <c r="I218" s="5" t="s">
        <v>65</v>
      </c>
      <c r="J218" s="5" t="s">
        <v>3387</v>
      </c>
      <c r="K218" s="5" t="s">
        <v>3393</v>
      </c>
      <c r="L218" s="5" t="s">
        <v>23</v>
      </c>
      <c r="M218" s="5" t="s">
        <v>3400</v>
      </c>
      <c r="N218" s="5" t="s">
        <v>926</v>
      </c>
      <c r="O218" s="5" t="s">
        <v>25</v>
      </c>
      <c r="P218" s="5" t="s">
        <v>26</v>
      </c>
      <c r="Q218" s="5" t="s">
        <v>27</v>
      </c>
      <c r="R218" s="5" t="str">
        <f>"0000"</f>
        <v>0000</v>
      </c>
      <c r="S218" s="5">
        <v>42.271384789999999</v>
      </c>
      <c r="T218" s="5">
        <v>-70.984065029999996</v>
      </c>
    </row>
    <row r="219" spans="1:20" x14ac:dyDescent="0.3">
      <c r="A219" s="5" t="s">
        <v>927</v>
      </c>
      <c r="B219" s="6">
        <v>26510</v>
      </c>
      <c r="C219" s="6" t="str">
        <f t="shared" si="62"/>
        <v>Active/Unavailable</v>
      </c>
      <c r="D219" s="5" t="s">
        <v>18</v>
      </c>
      <c r="E219" s="5" t="s">
        <v>928</v>
      </c>
      <c r="F219" s="5" t="s">
        <v>929</v>
      </c>
      <c r="G219" s="5" t="str">
        <f t="shared" si="67"/>
        <v>Not Available</v>
      </c>
      <c r="H219" s="5" t="s">
        <v>930</v>
      </c>
      <c r="I219" s="5" t="s">
        <v>22</v>
      </c>
      <c r="J219" s="5" t="s">
        <v>3387</v>
      </c>
      <c r="K219" s="5" t="s">
        <v>3393</v>
      </c>
      <c r="L219" s="5" t="s">
        <v>23</v>
      </c>
      <c r="M219" s="5" t="s">
        <v>3405</v>
      </c>
      <c r="N219" s="5" t="s">
        <v>931</v>
      </c>
      <c r="O219" s="5" t="s">
        <v>33</v>
      </c>
      <c r="P219" s="5" t="s">
        <v>26</v>
      </c>
      <c r="Q219" s="5" t="s">
        <v>34</v>
      </c>
      <c r="R219" s="5">
        <v>2115</v>
      </c>
      <c r="S219" s="5">
        <v>42.3367977640779</v>
      </c>
      <c r="T219" s="5">
        <v>-71.095010720000005</v>
      </c>
    </row>
    <row r="220" spans="1:20" x14ac:dyDescent="0.3">
      <c r="A220" s="5" t="s">
        <v>932</v>
      </c>
      <c r="B220" s="6">
        <v>17300</v>
      </c>
      <c r="C220" s="6" t="str">
        <f t="shared" si="62"/>
        <v>Active/Unavailable</v>
      </c>
      <c r="D220" s="5" t="s">
        <v>18</v>
      </c>
      <c r="E220" s="5" t="s">
        <v>933</v>
      </c>
      <c r="F220" s="5" t="s">
        <v>102</v>
      </c>
      <c r="G220" s="5" t="str">
        <f t="shared" si="67"/>
        <v>Not Available</v>
      </c>
      <c r="H220" s="5" t="s">
        <v>934</v>
      </c>
      <c r="I220" s="5" t="s">
        <v>22</v>
      </c>
      <c r="J220" s="5" t="s">
        <v>3387</v>
      </c>
      <c r="K220" s="5" t="s">
        <v>3393</v>
      </c>
      <c r="L220" s="5" t="s">
        <v>23</v>
      </c>
      <c r="M220" s="5" t="s">
        <v>3525</v>
      </c>
      <c r="N220" s="5" t="s">
        <v>935</v>
      </c>
      <c r="O220" s="5" t="s">
        <v>33</v>
      </c>
      <c r="P220" s="5" t="s">
        <v>26</v>
      </c>
      <c r="Q220" s="5" t="s">
        <v>34</v>
      </c>
      <c r="R220" s="5">
        <v>2151</v>
      </c>
      <c r="S220" s="5">
        <v>42.331679590348202</v>
      </c>
      <c r="T220" s="5">
        <v>-71.034124430000006</v>
      </c>
    </row>
    <row r="221" spans="1:20" x14ac:dyDescent="0.3">
      <c r="A221" s="5" t="s">
        <v>936</v>
      </c>
      <c r="B221" s="6">
        <v>14897</v>
      </c>
      <c r="C221" s="6" t="str">
        <f t="shared" si="62"/>
        <v>Active/Unavailable</v>
      </c>
      <c r="D221" s="5" t="s">
        <v>29</v>
      </c>
      <c r="E221" s="5" t="s">
        <v>937</v>
      </c>
      <c r="F221" s="5" t="s">
        <v>514</v>
      </c>
      <c r="G221" s="5" t="str">
        <f t="shared" si="67"/>
        <v>Not Available</v>
      </c>
      <c r="H221" s="5" t="str">
        <f t="shared" ref="H221:H223" si="69">"Not Available"</f>
        <v>Not Available</v>
      </c>
      <c r="I221" s="5" t="s">
        <v>22</v>
      </c>
      <c r="J221" s="5" t="s">
        <v>3387</v>
      </c>
      <c r="K221" s="5" t="s">
        <v>3393</v>
      </c>
      <c r="L221" s="5" t="s">
        <v>22</v>
      </c>
      <c r="M221" s="5" t="s">
        <v>3508</v>
      </c>
      <c r="N221" s="5" t="s">
        <v>938</v>
      </c>
      <c r="O221" s="5" t="s">
        <v>33</v>
      </c>
      <c r="P221" s="5" t="s">
        <v>26</v>
      </c>
      <c r="Q221" s="5" t="s">
        <v>34</v>
      </c>
      <c r="R221" s="5">
        <v>2203</v>
      </c>
      <c r="S221" s="5">
        <v>42.311994550000001</v>
      </c>
      <c r="T221" s="5">
        <v>-71.023490210000006</v>
      </c>
    </row>
    <row r="222" spans="1:20" x14ac:dyDescent="0.3">
      <c r="A222" s="5" t="s">
        <v>939</v>
      </c>
      <c r="B222" s="6">
        <v>27602</v>
      </c>
      <c r="C222" s="6" t="str">
        <f t="shared" si="62"/>
        <v>Active/Unavailable</v>
      </c>
      <c r="D222" s="5" t="s">
        <v>29</v>
      </c>
      <c r="E222" s="5" t="s">
        <v>940</v>
      </c>
      <c r="F222" s="5" t="s">
        <v>941</v>
      </c>
      <c r="G222" s="5" t="str">
        <f t="shared" si="67"/>
        <v>Not Available</v>
      </c>
      <c r="H222" s="5" t="str">
        <f t="shared" si="69"/>
        <v>Not Available</v>
      </c>
      <c r="I222" s="5" t="s">
        <v>22</v>
      </c>
      <c r="J222" s="5" t="s">
        <v>3389</v>
      </c>
      <c r="K222" s="5" t="s">
        <v>3394</v>
      </c>
      <c r="L222" s="5" t="s">
        <v>22</v>
      </c>
      <c r="M222" s="5" t="s">
        <v>3531</v>
      </c>
      <c r="N222" s="5" t="s">
        <v>942</v>
      </c>
      <c r="O222" s="5" t="s">
        <v>33</v>
      </c>
      <c r="P222" s="5" t="s">
        <v>26</v>
      </c>
      <c r="Q222" s="5" t="s">
        <v>34</v>
      </c>
      <c r="R222" s="5">
        <v>2125</v>
      </c>
      <c r="S222" s="5">
        <v>42.296839197784799</v>
      </c>
      <c r="T222" s="5">
        <v>-71.052791119999995</v>
      </c>
    </row>
    <row r="223" spans="1:20" x14ac:dyDescent="0.3">
      <c r="A223" s="5" t="s">
        <v>943</v>
      </c>
      <c r="B223" s="6">
        <v>10973</v>
      </c>
      <c r="C223" s="6" t="str">
        <f t="shared" si="62"/>
        <v>Active/Unavailable</v>
      </c>
      <c r="D223" s="5" t="s">
        <v>29</v>
      </c>
      <c r="E223" s="5" t="s">
        <v>944</v>
      </c>
      <c r="F223" s="5" t="s">
        <v>694</v>
      </c>
      <c r="G223" s="5" t="str">
        <f t="shared" si="67"/>
        <v>Not Available</v>
      </c>
      <c r="H223" s="5" t="str">
        <f t="shared" si="69"/>
        <v>Not Available</v>
      </c>
      <c r="I223" s="5" t="s">
        <v>22</v>
      </c>
      <c r="J223" s="5" t="s">
        <v>3387</v>
      </c>
      <c r="K223" s="5" t="s">
        <v>3393</v>
      </c>
      <c r="L223" s="5" t="s">
        <v>22</v>
      </c>
      <c r="M223" s="5" t="s">
        <v>3415</v>
      </c>
      <c r="N223" s="5" t="s">
        <v>945</v>
      </c>
      <c r="O223" s="5" t="s">
        <v>33</v>
      </c>
      <c r="P223" s="5" t="s">
        <v>26</v>
      </c>
      <c r="Q223" s="5" t="s">
        <v>34</v>
      </c>
      <c r="R223" s="5">
        <v>2121</v>
      </c>
      <c r="S223" s="5">
        <v>42.381809732401202</v>
      </c>
      <c r="T223" s="5">
        <v>-70.999936079999998</v>
      </c>
    </row>
    <row r="224" spans="1:20" x14ac:dyDescent="0.3">
      <c r="A224" s="5" t="s">
        <v>946</v>
      </c>
      <c r="B224" s="6">
        <v>13091</v>
      </c>
      <c r="C224" s="6" t="str">
        <f t="shared" si="62"/>
        <v>Active/Unavailable</v>
      </c>
      <c r="D224" s="5" t="s">
        <v>18</v>
      </c>
      <c r="E224" s="5" t="s">
        <v>947</v>
      </c>
      <c r="F224" s="5" t="s">
        <v>948</v>
      </c>
      <c r="G224" s="5" t="str">
        <f t="shared" si="67"/>
        <v>Not Available</v>
      </c>
      <c r="H224" s="5" t="s">
        <v>295</v>
      </c>
      <c r="I224" s="5" t="s">
        <v>22</v>
      </c>
      <c r="J224" s="5" t="s">
        <v>3387</v>
      </c>
      <c r="K224" s="5" t="s">
        <v>3393</v>
      </c>
      <c r="L224" s="5" t="s">
        <v>23</v>
      </c>
      <c r="M224" s="5" t="s">
        <v>3532</v>
      </c>
      <c r="N224" s="5" t="s">
        <v>949</v>
      </c>
      <c r="O224" s="5" t="s">
        <v>33</v>
      </c>
      <c r="P224" s="5" t="s">
        <v>26</v>
      </c>
      <c r="Q224" s="5" t="s">
        <v>34</v>
      </c>
      <c r="R224" s="5">
        <v>2210</v>
      </c>
      <c r="S224" s="5">
        <v>42.349937520978898</v>
      </c>
      <c r="T224" s="5">
        <v>-71.157175710000004</v>
      </c>
    </row>
    <row r="225" spans="1:20" x14ac:dyDescent="0.3">
      <c r="A225" s="5" t="s">
        <v>950</v>
      </c>
      <c r="B225" s="6">
        <v>27219</v>
      </c>
      <c r="C225" s="6" t="str">
        <f t="shared" si="62"/>
        <v>Active/Unavailable</v>
      </c>
      <c r="D225" s="5" t="s">
        <v>29</v>
      </c>
      <c r="E225" s="5" t="s">
        <v>951</v>
      </c>
      <c r="F225" s="5" t="s">
        <v>921</v>
      </c>
      <c r="G225" s="5" t="str">
        <f t="shared" si="67"/>
        <v>Not Available</v>
      </c>
      <c r="H225" s="5" t="str">
        <f>"Not Available"</f>
        <v>Not Available</v>
      </c>
      <c r="I225" s="5" t="s">
        <v>22</v>
      </c>
      <c r="J225" s="5" t="s">
        <v>3387</v>
      </c>
      <c r="K225" s="5" t="s">
        <v>3393</v>
      </c>
      <c r="L225" s="5" t="s">
        <v>22</v>
      </c>
      <c r="M225" s="5" t="s">
        <v>3533</v>
      </c>
      <c r="N225" s="5" t="s">
        <v>952</v>
      </c>
      <c r="O225" s="5" t="s">
        <v>33</v>
      </c>
      <c r="P225" s="5" t="s">
        <v>26</v>
      </c>
      <c r="Q225" s="5" t="s">
        <v>34</v>
      </c>
      <c r="R225" s="5">
        <v>2210</v>
      </c>
      <c r="S225" s="5">
        <v>42.273203645009303</v>
      </c>
      <c r="T225" s="5">
        <v>-71.023886039999994</v>
      </c>
    </row>
    <row r="226" spans="1:20" x14ac:dyDescent="0.3">
      <c r="A226" s="5" t="s">
        <v>953</v>
      </c>
      <c r="B226" s="6">
        <v>8666</v>
      </c>
      <c r="C226" s="6">
        <v>40934</v>
      </c>
      <c r="D226" s="5" t="s">
        <v>18</v>
      </c>
      <c r="E226" s="5" t="s">
        <v>954</v>
      </c>
      <c r="F226" s="5" t="s">
        <v>955</v>
      </c>
      <c r="G226" s="5" t="str">
        <f t="shared" si="67"/>
        <v>Not Available</v>
      </c>
      <c r="H226" s="5" t="s">
        <v>268</v>
      </c>
      <c r="I226" s="5" t="s">
        <v>22</v>
      </c>
      <c r="J226" s="5" t="s">
        <v>3389</v>
      </c>
      <c r="K226" s="5" t="s">
        <v>3394</v>
      </c>
      <c r="L226" s="5" t="s">
        <v>23</v>
      </c>
      <c r="M226" s="5" t="s">
        <v>3534</v>
      </c>
      <c r="N226" s="5" t="s">
        <v>956</v>
      </c>
      <c r="O226" s="5" t="s">
        <v>33</v>
      </c>
      <c r="P226" s="5" t="s">
        <v>26</v>
      </c>
      <c r="Q226" s="5" t="s">
        <v>34</v>
      </c>
      <c r="R226" s="5">
        <v>2122</v>
      </c>
      <c r="S226" s="5">
        <v>42.292713161454103</v>
      </c>
      <c r="T226" s="5">
        <v>-70.999920869999997</v>
      </c>
    </row>
    <row r="227" spans="1:20" x14ac:dyDescent="0.3">
      <c r="A227" s="5" t="s">
        <v>957</v>
      </c>
      <c r="B227" s="6">
        <v>30194</v>
      </c>
      <c r="C227" s="6" t="str">
        <f t="shared" ref="C227:C235" si="70">"Active/Unavailable"</f>
        <v>Active/Unavailable</v>
      </c>
      <c r="D227" s="5" t="s">
        <v>29</v>
      </c>
      <c r="E227" s="5" t="s">
        <v>958</v>
      </c>
      <c r="F227" s="5" t="s">
        <v>677</v>
      </c>
      <c r="G227" s="5" t="str">
        <f t="shared" si="67"/>
        <v>Not Available</v>
      </c>
      <c r="H227" s="5" t="str">
        <f t="shared" ref="H227:H234" si="71">"Not Available"</f>
        <v>Not Available</v>
      </c>
      <c r="I227" s="5" t="s">
        <v>65</v>
      </c>
      <c r="J227" s="5" t="s">
        <v>3390</v>
      </c>
      <c r="K227" s="5" t="s">
        <v>3393</v>
      </c>
      <c r="L227" s="5" t="s">
        <v>22</v>
      </c>
      <c r="M227" s="5" t="s">
        <v>3535</v>
      </c>
      <c r="N227" s="5" t="s">
        <v>959</v>
      </c>
      <c r="O227" s="5" t="s">
        <v>33</v>
      </c>
      <c r="P227" s="5" t="s">
        <v>26</v>
      </c>
      <c r="Q227" s="5" t="s">
        <v>34</v>
      </c>
      <c r="R227" s="5">
        <v>2116</v>
      </c>
      <c r="S227" s="5">
        <v>42.345741393773203</v>
      </c>
      <c r="T227" s="5">
        <v>-71.052600749999996</v>
      </c>
    </row>
    <row r="228" spans="1:20" x14ac:dyDescent="0.3">
      <c r="A228" s="5" t="s">
        <v>960</v>
      </c>
      <c r="B228" s="6">
        <v>8666</v>
      </c>
      <c r="C228" s="6" t="str">
        <f t="shared" si="70"/>
        <v>Active/Unavailable</v>
      </c>
      <c r="D228" s="5" t="s">
        <v>100</v>
      </c>
      <c r="E228" s="5" t="s">
        <v>961</v>
      </c>
      <c r="F228" s="5" t="s">
        <v>962</v>
      </c>
      <c r="G228" s="5" t="str">
        <f t="shared" si="67"/>
        <v>Not Available</v>
      </c>
      <c r="H228" s="5" t="str">
        <f t="shared" si="71"/>
        <v>Not Available</v>
      </c>
      <c r="I228" s="5" t="s">
        <v>65</v>
      </c>
      <c r="J228" s="5" t="s">
        <v>3389</v>
      </c>
      <c r="K228" s="5" t="s">
        <v>3394</v>
      </c>
      <c r="L228" s="5" t="s">
        <v>23</v>
      </c>
      <c r="M228" s="5" t="s">
        <v>3448</v>
      </c>
      <c r="N228" s="5" t="s">
        <v>963</v>
      </c>
      <c r="O228" s="5" t="s">
        <v>33</v>
      </c>
      <c r="P228" s="5" t="s">
        <v>26</v>
      </c>
      <c r="Q228" s="5" t="s">
        <v>34</v>
      </c>
      <c r="R228" s="5">
        <v>2110</v>
      </c>
      <c r="S228" s="5">
        <v>42.351045800979499</v>
      </c>
      <c r="T228" s="5">
        <v>-71.047273700000005</v>
      </c>
    </row>
    <row r="229" spans="1:20" x14ac:dyDescent="0.3">
      <c r="A229" s="5" t="s">
        <v>964</v>
      </c>
      <c r="B229" s="6">
        <v>11771</v>
      </c>
      <c r="C229" s="6" t="str">
        <f t="shared" si="70"/>
        <v>Active/Unavailable</v>
      </c>
      <c r="D229" s="5" t="s">
        <v>29</v>
      </c>
      <c r="E229" s="5" t="s">
        <v>965</v>
      </c>
      <c r="F229" s="5" t="s">
        <v>510</v>
      </c>
      <c r="G229" s="5" t="str">
        <f t="shared" si="67"/>
        <v>Not Available</v>
      </c>
      <c r="H229" s="5" t="str">
        <f t="shared" si="71"/>
        <v>Not Available</v>
      </c>
      <c r="I229" s="5" t="s">
        <v>65</v>
      </c>
      <c r="J229" s="5" t="s">
        <v>3387</v>
      </c>
      <c r="K229" s="5" t="s">
        <v>3393</v>
      </c>
      <c r="L229" s="5" t="s">
        <v>22</v>
      </c>
      <c r="M229" s="5" t="s">
        <v>3517</v>
      </c>
      <c r="N229" s="5" t="s">
        <v>966</v>
      </c>
      <c r="O229" s="5" t="s">
        <v>56</v>
      </c>
      <c r="P229" s="5" t="s">
        <v>26</v>
      </c>
      <c r="Q229" s="5" t="s">
        <v>57</v>
      </c>
      <c r="R229" s="5">
        <v>2141</v>
      </c>
      <c r="S229" s="5">
        <v>42.3421375731537</v>
      </c>
      <c r="T229" s="5">
        <v>-71.061540050000005</v>
      </c>
    </row>
    <row r="230" spans="1:20" x14ac:dyDescent="0.3">
      <c r="A230" s="7" t="s">
        <v>967</v>
      </c>
      <c r="B230" s="6">
        <v>32460</v>
      </c>
      <c r="C230" s="6" t="str">
        <f t="shared" si="70"/>
        <v>Active/Unavailable</v>
      </c>
      <c r="D230" s="5" t="s">
        <v>29</v>
      </c>
      <c r="E230" s="5" t="s">
        <v>968</v>
      </c>
      <c r="F230" s="5" t="s">
        <v>934</v>
      </c>
      <c r="G230" s="5" t="str">
        <f t="shared" si="67"/>
        <v>Not Available</v>
      </c>
      <c r="H230" s="5" t="str">
        <f t="shared" si="71"/>
        <v>Not Available</v>
      </c>
      <c r="I230" s="5" t="s">
        <v>22</v>
      </c>
      <c r="J230" s="5" t="s">
        <v>3388</v>
      </c>
      <c r="K230" s="5" t="s">
        <v>3393</v>
      </c>
      <c r="L230" s="5" t="s">
        <v>22</v>
      </c>
      <c r="M230" s="5" t="s">
        <v>3536</v>
      </c>
      <c r="N230" s="5" t="s">
        <v>969</v>
      </c>
      <c r="O230" s="5" t="s">
        <v>108</v>
      </c>
      <c r="P230" s="5" t="s">
        <v>26</v>
      </c>
      <c r="Q230" s="5" t="s">
        <v>34</v>
      </c>
      <c r="R230" s="5" t="str">
        <f>"0000"</f>
        <v>0000</v>
      </c>
      <c r="S230" s="5">
        <v>42.411229698084199</v>
      </c>
      <c r="T230" s="5">
        <v>-70.983078059999997</v>
      </c>
    </row>
    <row r="231" spans="1:20" x14ac:dyDescent="0.3">
      <c r="A231" s="5" t="s">
        <v>970</v>
      </c>
      <c r="B231" s="6">
        <v>19049</v>
      </c>
      <c r="C231" s="6" t="str">
        <f t="shared" si="70"/>
        <v>Active/Unavailable</v>
      </c>
      <c r="D231" s="5" t="s">
        <v>29</v>
      </c>
      <c r="E231" s="5" t="s">
        <v>971</v>
      </c>
      <c r="F231" s="5" t="s">
        <v>609</v>
      </c>
      <c r="G231" s="5" t="str">
        <f t="shared" si="67"/>
        <v>Not Available</v>
      </c>
      <c r="H231" s="5" t="str">
        <f t="shared" si="71"/>
        <v>Not Available</v>
      </c>
      <c r="I231" s="5" t="s">
        <v>22</v>
      </c>
      <c r="J231" s="5" t="s">
        <v>3387</v>
      </c>
      <c r="K231" s="5" t="s">
        <v>3393</v>
      </c>
      <c r="L231" s="5" t="s">
        <v>22</v>
      </c>
      <c r="M231" s="5" t="s">
        <v>3400</v>
      </c>
      <c r="N231" s="5" t="s">
        <v>972</v>
      </c>
      <c r="O231" s="5" t="s">
        <v>33</v>
      </c>
      <c r="P231" s="5" t="s">
        <v>26</v>
      </c>
      <c r="Q231" s="5" t="s">
        <v>34</v>
      </c>
      <c r="R231" s="5">
        <v>2108</v>
      </c>
      <c r="S231" s="5">
        <v>42.316448420561301</v>
      </c>
      <c r="T231" s="5">
        <v>-71.044479589999995</v>
      </c>
    </row>
    <row r="232" spans="1:20" x14ac:dyDescent="0.3">
      <c r="A232" s="5" t="s">
        <v>973</v>
      </c>
      <c r="B232" s="6">
        <v>17035</v>
      </c>
      <c r="C232" s="6" t="str">
        <f t="shared" si="70"/>
        <v>Active/Unavailable</v>
      </c>
      <c r="D232" s="5" t="s">
        <v>29</v>
      </c>
      <c r="E232" s="5" t="s">
        <v>974</v>
      </c>
      <c r="F232" s="5" t="s">
        <v>975</v>
      </c>
      <c r="G232" s="5" t="str">
        <f t="shared" si="67"/>
        <v>Not Available</v>
      </c>
      <c r="H232" s="5" t="str">
        <f t="shared" si="71"/>
        <v>Not Available</v>
      </c>
      <c r="I232" s="5" t="s">
        <v>22</v>
      </c>
      <c r="J232" s="5" t="s">
        <v>3389</v>
      </c>
      <c r="K232" s="5" t="s">
        <v>3394</v>
      </c>
      <c r="L232" s="5" t="s">
        <v>22</v>
      </c>
      <c r="M232" s="5" t="s">
        <v>3537</v>
      </c>
      <c r="N232" s="5" t="s">
        <v>976</v>
      </c>
      <c r="O232" s="5" t="s">
        <v>33</v>
      </c>
      <c r="P232" s="5" t="s">
        <v>26</v>
      </c>
      <c r="Q232" s="5" t="s">
        <v>34</v>
      </c>
      <c r="R232" s="5" t="str">
        <f>"0000"</f>
        <v>0000</v>
      </c>
      <c r="S232" s="5">
        <v>42.333398799999998</v>
      </c>
      <c r="T232" s="5">
        <v>-71.029007120000003</v>
      </c>
    </row>
    <row r="233" spans="1:20" x14ac:dyDescent="0.3">
      <c r="A233" s="5" t="s">
        <v>977</v>
      </c>
      <c r="B233" s="6">
        <v>14319</v>
      </c>
      <c r="C233" s="6" t="str">
        <f t="shared" si="70"/>
        <v>Active/Unavailable</v>
      </c>
      <c r="D233" s="5" t="s">
        <v>29</v>
      </c>
      <c r="E233" s="5" t="s">
        <v>978</v>
      </c>
      <c r="F233" s="5" t="s">
        <v>979</v>
      </c>
      <c r="G233" s="5" t="str">
        <f t="shared" si="67"/>
        <v>Not Available</v>
      </c>
      <c r="H233" s="5" t="str">
        <f t="shared" si="71"/>
        <v>Not Available</v>
      </c>
      <c r="I233" s="5" t="s">
        <v>22</v>
      </c>
      <c r="J233" s="5" t="s">
        <v>3387</v>
      </c>
      <c r="K233" s="5" t="s">
        <v>3393</v>
      </c>
      <c r="L233" s="5" t="s">
        <v>22</v>
      </c>
      <c r="M233" s="5" t="s">
        <v>3538</v>
      </c>
      <c r="N233" s="5" t="s">
        <v>980</v>
      </c>
      <c r="O233" s="5" t="s">
        <v>33</v>
      </c>
      <c r="P233" s="5" t="s">
        <v>26</v>
      </c>
      <c r="Q233" s="5" t="s">
        <v>34</v>
      </c>
      <c r="R233" s="5">
        <v>2151</v>
      </c>
      <c r="S233" s="5">
        <v>42.394232621633897</v>
      </c>
      <c r="T233" s="5">
        <v>-71.012657239999996</v>
      </c>
    </row>
    <row r="234" spans="1:20" x14ac:dyDescent="0.3">
      <c r="A234" s="5" t="s">
        <v>981</v>
      </c>
      <c r="B234" s="6">
        <v>14337</v>
      </c>
      <c r="C234" s="6" t="str">
        <f t="shared" si="70"/>
        <v>Active/Unavailable</v>
      </c>
      <c r="D234" s="5" t="s">
        <v>29</v>
      </c>
      <c r="E234" s="5" t="s">
        <v>982</v>
      </c>
      <c r="F234" s="5" t="s">
        <v>983</v>
      </c>
      <c r="G234" s="5" t="str">
        <f t="shared" si="67"/>
        <v>Not Available</v>
      </c>
      <c r="H234" s="5" t="str">
        <f t="shared" si="71"/>
        <v>Not Available</v>
      </c>
      <c r="I234" s="5" t="s">
        <v>22</v>
      </c>
      <c r="J234" s="5" t="s">
        <v>3387</v>
      </c>
      <c r="K234" s="5" t="s">
        <v>3393</v>
      </c>
      <c r="L234" s="5" t="s">
        <v>22</v>
      </c>
      <c r="M234" s="5" t="s">
        <v>3539</v>
      </c>
      <c r="N234" s="5" t="s">
        <v>984</v>
      </c>
      <c r="O234" s="5" t="s">
        <v>574</v>
      </c>
      <c r="P234" s="5" t="s">
        <v>26</v>
      </c>
      <c r="Q234" s="5" t="s">
        <v>27</v>
      </c>
      <c r="R234" s="5">
        <v>2467</v>
      </c>
      <c r="S234" s="5">
        <v>42.321587832362802</v>
      </c>
      <c r="T234" s="5">
        <v>-71.114095599999999</v>
      </c>
    </row>
    <row r="235" spans="1:20" x14ac:dyDescent="0.3">
      <c r="A235" s="5" t="s">
        <v>985</v>
      </c>
      <c r="B235" s="6">
        <v>24471</v>
      </c>
      <c r="C235" s="6" t="str">
        <f t="shared" si="70"/>
        <v>Active/Unavailable</v>
      </c>
      <c r="D235" s="5" t="s">
        <v>18</v>
      </c>
      <c r="E235" s="5" t="s">
        <v>986</v>
      </c>
      <c r="F235" s="5" t="s">
        <v>519</v>
      </c>
      <c r="G235" s="5" t="str">
        <f t="shared" si="67"/>
        <v>Not Available</v>
      </c>
      <c r="H235" s="5" t="s">
        <v>111</v>
      </c>
      <c r="I235" s="5" t="s">
        <v>22</v>
      </c>
      <c r="J235" s="5" t="s">
        <v>3387</v>
      </c>
      <c r="K235" s="5" t="s">
        <v>3393</v>
      </c>
      <c r="L235" s="5" t="s">
        <v>23</v>
      </c>
      <c r="M235" s="5" t="s">
        <v>3412</v>
      </c>
      <c r="N235" s="5" t="s">
        <v>987</v>
      </c>
      <c r="O235" s="5" t="s">
        <v>33</v>
      </c>
      <c r="P235" s="5" t="s">
        <v>26</v>
      </c>
      <c r="Q235" s="5" t="s">
        <v>34</v>
      </c>
      <c r="R235" s="5">
        <v>2203</v>
      </c>
      <c r="S235" s="5">
        <v>42.326559439072597</v>
      </c>
      <c r="T235" s="5">
        <v>-71.020923809999999</v>
      </c>
    </row>
    <row r="236" spans="1:20" x14ac:dyDescent="0.3">
      <c r="A236" s="5" t="s">
        <v>988</v>
      </c>
      <c r="B236" s="6">
        <v>22172</v>
      </c>
      <c r="C236" s="6">
        <v>43165</v>
      </c>
      <c r="D236" s="5" t="s">
        <v>29</v>
      </c>
      <c r="E236" s="5" t="s">
        <v>989</v>
      </c>
      <c r="F236" s="5" t="s">
        <v>156</v>
      </c>
      <c r="G236" s="5" t="str">
        <f t="shared" si="67"/>
        <v>Not Available</v>
      </c>
      <c r="H236" s="5" t="str">
        <f t="shared" ref="H236:H240" si="72">"Not Available"</f>
        <v>Not Available</v>
      </c>
      <c r="I236" s="5" t="s">
        <v>22</v>
      </c>
      <c r="J236" s="5" t="s">
        <v>3387</v>
      </c>
      <c r="K236" s="5" t="s">
        <v>3394</v>
      </c>
      <c r="L236" s="5" t="s">
        <v>22</v>
      </c>
      <c r="M236" s="5" t="s">
        <v>3400</v>
      </c>
      <c r="N236" s="5" t="s">
        <v>990</v>
      </c>
      <c r="O236" s="5" t="s">
        <v>33</v>
      </c>
      <c r="P236" s="5" t="s">
        <v>26</v>
      </c>
      <c r="Q236" s="5" t="s">
        <v>34</v>
      </c>
      <c r="R236" s="5">
        <v>2115</v>
      </c>
      <c r="S236" s="5">
        <v>42.352634930165202</v>
      </c>
      <c r="T236" s="5">
        <v>-71.064638720000005</v>
      </c>
    </row>
    <row r="237" spans="1:20" x14ac:dyDescent="0.3">
      <c r="A237" s="5" t="s">
        <v>991</v>
      </c>
      <c r="B237" s="6">
        <v>22172</v>
      </c>
      <c r="C237" s="6" t="str">
        <f t="shared" ref="C237:C238" si="73">"Active/Unavailable"</f>
        <v>Active/Unavailable</v>
      </c>
      <c r="D237" s="5" t="s">
        <v>29</v>
      </c>
      <c r="E237" s="5" t="s">
        <v>992</v>
      </c>
      <c r="F237" s="5" t="s">
        <v>993</v>
      </c>
      <c r="G237" s="5" t="str">
        <f t="shared" si="67"/>
        <v>Not Available</v>
      </c>
      <c r="H237" s="5" t="str">
        <f t="shared" si="72"/>
        <v>Not Available</v>
      </c>
      <c r="I237" s="5" t="s">
        <v>22</v>
      </c>
      <c r="J237" s="5" t="s">
        <v>3387</v>
      </c>
      <c r="K237" s="5" t="s">
        <v>3394</v>
      </c>
      <c r="L237" s="5" t="s">
        <v>22</v>
      </c>
      <c r="M237" s="5" t="s">
        <v>3539</v>
      </c>
      <c r="N237" s="5" t="s">
        <v>994</v>
      </c>
      <c r="O237" s="5" t="s">
        <v>33</v>
      </c>
      <c r="P237" s="5" t="s">
        <v>26</v>
      </c>
      <c r="Q237" s="5" t="s">
        <v>34</v>
      </c>
      <c r="R237" s="5">
        <v>2128</v>
      </c>
      <c r="S237" s="5">
        <v>42.346193183074803</v>
      </c>
      <c r="T237" s="5">
        <v>-71.061259800000002</v>
      </c>
    </row>
    <row r="238" spans="1:20" x14ac:dyDescent="0.3">
      <c r="A238" s="5" t="s">
        <v>995</v>
      </c>
      <c r="B238" s="6">
        <v>23586</v>
      </c>
      <c r="C238" s="6" t="str">
        <f t="shared" si="73"/>
        <v>Active/Unavailable</v>
      </c>
      <c r="D238" s="5" t="s">
        <v>29</v>
      </c>
      <c r="E238" s="5" t="s">
        <v>996</v>
      </c>
      <c r="F238" s="5" t="s">
        <v>764</v>
      </c>
      <c r="G238" s="5" t="str">
        <f t="shared" si="67"/>
        <v>Not Available</v>
      </c>
      <c r="H238" s="5" t="str">
        <f t="shared" si="72"/>
        <v>Not Available</v>
      </c>
      <c r="I238" s="5" t="s">
        <v>65</v>
      </c>
      <c r="J238" s="5" t="s">
        <v>3389</v>
      </c>
      <c r="K238" s="5" t="s">
        <v>3393</v>
      </c>
      <c r="L238" s="5" t="s">
        <v>22</v>
      </c>
      <c r="M238" s="5" t="s">
        <v>3540</v>
      </c>
      <c r="N238" s="5" t="s">
        <v>997</v>
      </c>
      <c r="O238" s="5" t="s">
        <v>209</v>
      </c>
      <c r="P238" s="5" t="s">
        <v>26</v>
      </c>
      <c r="Q238" s="5" t="s">
        <v>27</v>
      </c>
      <c r="R238" s="5">
        <v>2189</v>
      </c>
      <c r="S238" s="5">
        <v>42.253674097082801</v>
      </c>
      <c r="T238" s="5">
        <v>-70.932656249999994</v>
      </c>
    </row>
    <row r="239" spans="1:20" x14ac:dyDescent="0.3">
      <c r="A239" s="5" t="s">
        <v>998</v>
      </c>
      <c r="B239" s="6">
        <v>28005</v>
      </c>
      <c r="C239" s="6">
        <v>41970</v>
      </c>
      <c r="D239" s="5" t="s">
        <v>100</v>
      </c>
      <c r="E239" s="5" t="s">
        <v>999</v>
      </c>
      <c r="F239" s="5" t="s">
        <v>1000</v>
      </c>
      <c r="G239" s="5" t="str">
        <f t="shared" si="67"/>
        <v>Not Available</v>
      </c>
      <c r="H239" s="5" t="str">
        <f t="shared" si="72"/>
        <v>Not Available</v>
      </c>
      <c r="I239" s="5" t="s">
        <v>65</v>
      </c>
      <c r="J239" s="5" t="s">
        <v>3389</v>
      </c>
      <c r="K239" s="5" t="s">
        <v>3393</v>
      </c>
      <c r="L239" s="5" t="s">
        <v>23</v>
      </c>
      <c r="M239" s="5" t="s">
        <v>3422</v>
      </c>
      <c r="N239" s="5" t="s">
        <v>1001</v>
      </c>
      <c r="O239" s="5" t="s">
        <v>33</v>
      </c>
      <c r="P239" s="5" t="s">
        <v>26</v>
      </c>
      <c r="Q239" s="5" t="s">
        <v>34</v>
      </c>
      <c r="R239" s="5">
        <v>2135</v>
      </c>
      <c r="S239" s="5">
        <v>42.379178629999998</v>
      </c>
      <c r="T239" s="5">
        <v>-70.991097479999993</v>
      </c>
    </row>
    <row r="240" spans="1:20" x14ac:dyDescent="0.3">
      <c r="A240" s="5" t="s">
        <v>1002</v>
      </c>
      <c r="B240" s="6">
        <v>13520</v>
      </c>
      <c r="C240" s="6" t="str">
        <f t="shared" ref="C240:C243" si="74">"Active/Unavailable"</f>
        <v>Active/Unavailable</v>
      </c>
      <c r="D240" s="5" t="s">
        <v>29</v>
      </c>
      <c r="E240" s="5" t="s">
        <v>1003</v>
      </c>
      <c r="F240" s="5" t="s">
        <v>519</v>
      </c>
      <c r="G240" s="5" t="str">
        <f t="shared" si="67"/>
        <v>Not Available</v>
      </c>
      <c r="H240" s="5" t="str">
        <f t="shared" si="72"/>
        <v>Not Available</v>
      </c>
      <c r="I240" s="5" t="s">
        <v>22</v>
      </c>
      <c r="J240" s="5" t="s">
        <v>3389</v>
      </c>
      <c r="K240" s="5" t="s">
        <v>3393</v>
      </c>
      <c r="L240" s="5" t="s">
        <v>22</v>
      </c>
      <c r="M240" s="5" t="s">
        <v>3540</v>
      </c>
      <c r="N240" s="5" t="s">
        <v>1004</v>
      </c>
      <c r="O240" s="5" t="s">
        <v>33</v>
      </c>
      <c r="P240" s="5" t="s">
        <v>26</v>
      </c>
      <c r="Q240" s="5" t="s">
        <v>34</v>
      </c>
      <c r="R240" s="5">
        <v>2135</v>
      </c>
      <c r="S240" s="5">
        <v>42.353761438291897</v>
      </c>
      <c r="T240" s="5">
        <v>-71.039650780000002</v>
      </c>
    </row>
    <row r="241" spans="1:20" x14ac:dyDescent="0.3">
      <c r="A241" s="5" t="s">
        <v>1005</v>
      </c>
      <c r="B241" s="6">
        <v>22085</v>
      </c>
      <c r="C241" s="6" t="str">
        <f t="shared" si="74"/>
        <v>Active/Unavailable</v>
      </c>
      <c r="D241" s="5" t="s">
        <v>18</v>
      </c>
      <c r="E241" s="5" t="s">
        <v>1006</v>
      </c>
      <c r="F241" s="5" t="s">
        <v>3365</v>
      </c>
      <c r="G241" s="5" t="str">
        <f t="shared" si="67"/>
        <v>Not Available</v>
      </c>
      <c r="H241" s="5" t="s">
        <v>1008</v>
      </c>
      <c r="I241" s="5" t="s">
        <v>22</v>
      </c>
      <c r="J241" s="5" t="s">
        <v>3387</v>
      </c>
      <c r="K241" s="5" t="s">
        <v>3394</v>
      </c>
      <c r="L241" s="5" t="s">
        <v>23</v>
      </c>
      <c r="M241" s="5" t="s">
        <v>3541</v>
      </c>
      <c r="N241" s="5" t="s">
        <v>1009</v>
      </c>
      <c r="O241" s="5" t="s">
        <v>33</v>
      </c>
      <c r="P241" s="5" t="s">
        <v>26</v>
      </c>
      <c r="Q241" s="5" t="s">
        <v>34</v>
      </c>
      <c r="R241" s="5">
        <v>2124</v>
      </c>
      <c r="S241" s="5">
        <v>42.3302757884138</v>
      </c>
      <c r="T241" s="5">
        <v>-71.026163969999999</v>
      </c>
    </row>
    <row r="242" spans="1:20" x14ac:dyDescent="0.3">
      <c r="A242" s="5" t="s">
        <v>1010</v>
      </c>
      <c r="B242" s="6">
        <v>10305</v>
      </c>
      <c r="C242" s="6" t="str">
        <f t="shared" si="74"/>
        <v>Active/Unavailable</v>
      </c>
      <c r="D242" s="5" t="s">
        <v>18</v>
      </c>
      <c r="E242" s="5" t="s">
        <v>561</v>
      </c>
      <c r="F242" s="5" t="s">
        <v>1011</v>
      </c>
      <c r="G242" s="5" t="str">
        <f t="shared" si="67"/>
        <v>Not Available</v>
      </c>
      <c r="H242" s="5" t="s">
        <v>1012</v>
      </c>
      <c r="I242" s="5" t="s">
        <v>22</v>
      </c>
      <c r="J242" s="5" t="s">
        <v>3388</v>
      </c>
      <c r="K242" s="5" t="s">
        <v>3394</v>
      </c>
      <c r="L242" s="5" t="s">
        <v>23</v>
      </c>
      <c r="M242" s="5" t="s">
        <v>3449</v>
      </c>
      <c r="N242" s="5" t="s">
        <v>1013</v>
      </c>
      <c r="O242" s="5" t="s">
        <v>33</v>
      </c>
      <c r="P242" s="5" t="s">
        <v>26</v>
      </c>
      <c r="Q242" s="5" t="s">
        <v>34</v>
      </c>
      <c r="R242" s="5">
        <v>2115</v>
      </c>
      <c r="S242" s="5">
        <v>42.353768893918101</v>
      </c>
      <c r="T242" s="5">
        <v>-71.014312680000003</v>
      </c>
    </row>
    <row r="243" spans="1:20" x14ac:dyDescent="0.3">
      <c r="A243" s="5" t="s">
        <v>1014</v>
      </c>
      <c r="B243" s="6">
        <v>15503</v>
      </c>
      <c r="C243" s="6" t="str">
        <f t="shared" si="74"/>
        <v>Active/Unavailable</v>
      </c>
      <c r="D243" s="5" t="s">
        <v>18</v>
      </c>
      <c r="E243" s="5" t="s">
        <v>1015</v>
      </c>
      <c r="F243" s="5" t="s">
        <v>1016</v>
      </c>
      <c r="G243" s="5" t="str">
        <f t="shared" si="67"/>
        <v>Not Available</v>
      </c>
      <c r="H243" s="5" t="s">
        <v>1017</v>
      </c>
      <c r="I243" s="5" t="s">
        <v>22</v>
      </c>
      <c r="J243" s="5" t="s">
        <v>3387</v>
      </c>
      <c r="K243" s="5" t="s">
        <v>3393</v>
      </c>
      <c r="L243" s="5" t="s">
        <v>23</v>
      </c>
      <c r="M243" s="5" t="s">
        <v>3447</v>
      </c>
      <c r="N243" s="5" t="s">
        <v>1018</v>
      </c>
      <c r="O243" s="5" t="s">
        <v>33</v>
      </c>
      <c r="P243" s="5" t="s">
        <v>26</v>
      </c>
      <c r="Q243" s="5" t="s">
        <v>34</v>
      </c>
      <c r="R243" s="5">
        <v>2121</v>
      </c>
      <c r="S243" s="5">
        <v>42.381502646079603</v>
      </c>
      <c r="T243" s="5">
        <v>-71.061716689999997</v>
      </c>
    </row>
    <row r="244" spans="1:20" x14ac:dyDescent="0.3">
      <c r="A244" s="5" t="s">
        <v>1019</v>
      </c>
      <c r="B244" s="6">
        <v>13462</v>
      </c>
      <c r="C244" s="6">
        <v>44163</v>
      </c>
      <c r="D244" s="5" t="s">
        <v>18</v>
      </c>
      <c r="E244" s="5" t="s">
        <v>1020</v>
      </c>
      <c r="F244" s="5" t="s">
        <v>1021</v>
      </c>
      <c r="G244" s="5" t="str">
        <f t="shared" si="67"/>
        <v>Not Available</v>
      </c>
      <c r="H244" s="5" t="s">
        <v>1022</v>
      </c>
      <c r="I244" s="5" t="s">
        <v>22</v>
      </c>
      <c r="J244" s="5" t="s">
        <v>3387</v>
      </c>
      <c r="K244" s="5" t="s">
        <v>3393</v>
      </c>
      <c r="L244" s="5" t="s">
        <v>23</v>
      </c>
      <c r="M244" s="5" t="s">
        <v>3542</v>
      </c>
      <c r="N244" s="5" t="s">
        <v>1023</v>
      </c>
      <c r="O244" s="5" t="s">
        <v>25</v>
      </c>
      <c r="P244" s="5" t="s">
        <v>26</v>
      </c>
      <c r="Q244" s="5" t="s">
        <v>27</v>
      </c>
      <c r="R244" s="5">
        <v>2171</v>
      </c>
      <c r="S244" s="5">
        <v>42.301803026848397</v>
      </c>
      <c r="T244" s="5">
        <v>-70.962978210000003</v>
      </c>
    </row>
    <row r="245" spans="1:20" x14ac:dyDescent="0.3">
      <c r="A245" s="5" t="s">
        <v>1024</v>
      </c>
      <c r="B245" s="6">
        <v>13462</v>
      </c>
      <c r="C245" s="6" t="str">
        <f t="shared" ref="C245:C250" si="75">"Active/Unavailable"</f>
        <v>Active/Unavailable</v>
      </c>
      <c r="D245" s="5" t="s">
        <v>18</v>
      </c>
      <c r="E245" s="5" t="s">
        <v>1025</v>
      </c>
      <c r="F245" s="5" t="s">
        <v>647</v>
      </c>
      <c r="G245" s="5" t="str">
        <f t="shared" si="67"/>
        <v>Not Available</v>
      </c>
      <c r="H245" s="5" t="s">
        <v>1026</v>
      </c>
      <c r="I245" s="5" t="s">
        <v>22</v>
      </c>
      <c r="J245" s="5" t="s">
        <v>3387</v>
      </c>
      <c r="K245" s="5" t="s">
        <v>3393</v>
      </c>
      <c r="L245" s="5" t="s">
        <v>23</v>
      </c>
      <c r="M245" s="5" t="s">
        <v>3498</v>
      </c>
      <c r="N245" s="5" t="s">
        <v>1027</v>
      </c>
      <c r="O245" s="5" t="s">
        <v>25</v>
      </c>
      <c r="P245" s="5" t="s">
        <v>26</v>
      </c>
      <c r="Q245" s="5" t="s">
        <v>27</v>
      </c>
      <c r="R245" s="5">
        <v>2186</v>
      </c>
      <c r="S245" s="5">
        <v>42.279045294164199</v>
      </c>
      <c r="T245" s="5">
        <v>-70.999103570000003</v>
      </c>
    </row>
    <row r="246" spans="1:20" x14ac:dyDescent="0.3">
      <c r="A246" s="5" t="s">
        <v>1028</v>
      </c>
      <c r="B246" s="6">
        <v>14900</v>
      </c>
      <c r="C246" s="6" t="str">
        <f t="shared" si="75"/>
        <v>Active/Unavailable</v>
      </c>
      <c r="D246" s="5" t="s">
        <v>18</v>
      </c>
      <c r="E246" s="5" t="s">
        <v>1029</v>
      </c>
      <c r="F246" s="5" t="s">
        <v>143</v>
      </c>
      <c r="G246" s="5" t="str">
        <f t="shared" si="67"/>
        <v>Not Available</v>
      </c>
      <c r="H246" s="5" t="s">
        <v>156</v>
      </c>
      <c r="I246" s="5" t="s">
        <v>22</v>
      </c>
      <c r="J246" s="5" t="s">
        <v>3387</v>
      </c>
      <c r="K246" s="5" t="s">
        <v>3393</v>
      </c>
      <c r="L246" s="5" t="s">
        <v>23</v>
      </c>
      <c r="M246" s="5" t="s">
        <v>3400</v>
      </c>
      <c r="N246" s="5" t="s">
        <v>1030</v>
      </c>
      <c r="O246" s="5" t="s">
        <v>209</v>
      </c>
      <c r="P246" s="5" t="s">
        <v>26</v>
      </c>
      <c r="Q246" s="5" t="s">
        <v>27</v>
      </c>
      <c r="R246" s="5">
        <v>2189</v>
      </c>
      <c r="S246" s="5">
        <v>42.239719026489297</v>
      </c>
      <c r="T246" s="5">
        <v>-70.878727780000006</v>
      </c>
    </row>
    <row r="247" spans="1:20" x14ac:dyDescent="0.3">
      <c r="A247" s="5" t="s">
        <v>1031</v>
      </c>
      <c r="B247" s="6">
        <v>23877</v>
      </c>
      <c r="C247" s="6" t="str">
        <f t="shared" si="75"/>
        <v>Active/Unavailable</v>
      </c>
      <c r="D247" s="5" t="s">
        <v>18</v>
      </c>
      <c r="E247" s="5" t="s">
        <v>1032</v>
      </c>
      <c r="F247" s="5" t="s">
        <v>1033</v>
      </c>
      <c r="G247" s="5" t="str">
        <f t="shared" si="67"/>
        <v>Not Available</v>
      </c>
      <c r="H247" s="5" t="s">
        <v>1034</v>
      </c>
      <c r="I247" s="5" t="s">
        <v>22</v>
      </c>
      <c r="J247" s="5" t="s">
        <v>3389</v>
      </c>
      <c r="K247" s="5" t="s">
        <v>3394</v>
      </c>
      <c r="L247" s="5" t="s">
        <v>23</v>
      </c>
      <c r="M247" s="5" t="s">
        <v>3495</v>
      </c>
      <c r="N247" s="5" t="s">
        <v>1035</v>
      </c>
      <c r="O247" s="5" t="s">
        <v>25</v>
      </c>
      <c r="P247" s="5" t="s">
        <v>26</v>
      </c>
      <c r="Q247" s="5" t="s">
        <v>27</v>
      </c>
      <c r="R247" s="5">
        <v>2169</v>
      </c>
      <c r="S247" s="5">
        <v>42.301907631135599</v>
      </c>
      <c r="T247" s="5">
        <v>-71.029003880000005</v>
      </c>
    </row>
    <row r="248" spans="1:20" x14ac:dyDescent="0.3">
      <c r="A248" s="5" t="s">
        <v>1036</v>
      </c>
      <c r="B248" s="6">
        <v>10362</v>
      </c>
      <c r="C248" s="6" t="str">
        <f t="shared" si="75"/>
        <v>Active/Unavailable</v>
      </c>
      <c r="D248" s="5" t="s">
        <v>29</v>
      </c>
      <c r="E248" s="5" t="s">
        <v>1037</v>
      </c>
      <c r="F248" s="5" t="s">
        <v>1038</v>
      </c>
      <c r="G248" s="5" t="str">
        <f t="shared" si="67"/>
        <v>Not Available</v>
      </c>
      <c r="H248" s="5" t="str">
        <f t="shared" ref="H248:H249" si="76">"Not Available"</f>
        <v>Not Available</v>
      </c>
      <c r="I248" s="5" t="s">
        <v>22</v>
      </c>
      <c r="J248" s="5" t="s">
        <v>3387</v>
      </c>
      <c r="K248" s="5" t="s">
        <v>3393</v>
      </c>
      <c r="L248" s="5" t="s">
        <v>22</v>
      </c>
      <c r="M248" s="5" t="s">
        <v>3543</v>
      </c>
      <c r="N248" s="5" t="s">
        <v>1039</v>
      </c>
      <c r="O248" s="5" t="s">
        <v>1040</v>
      </c>
      <c r="P248" s="5" t="s">
        <v>26</v>
      </c>
      <c r="Q248" s="5" t="s">
        <v>27</v>
      </c>
      <c r="R248" s="5">
        <v>2186</v>
      </c>
      <c r="S248" s="5">
        <v>42.280512416050897</v>
      </c>
      <c r="T248" s="5">
        <v>-71.040724589999996</v>
      </c>
    </row>
    <row r="249" spans="1:20" x14ac:dyDescent="0.3">
      <c r="A249" s="5" t="s">
        <v>1041</v>
      </c>
      <c r="B249" s="6">
        <v>11262</v>
      </c>
      <c r="C249" s="6" t="str">
        <f t="shared" si="75"/>
        <v>Active/Unavailable</v>
      </c>
      <c r="D249" s="5" t="s">
        <v>29</v>
      </c>
      <c r="E249" s="5" t="s">
        <v>1042</v>
      </c>
      <c r="F249" s="5" t="s">
        <v>115</v>
      </c>
      <c r="G249" s="5" t="str">
        <f t="shared" si="67"/>
        <v>Not Available</v>
      </c>
      <c r="H249" s="5" t="str">
        <f t="shared" si="76"/>
        <v>Not Available</v>
      </c>
      <c r="I249" s="5" t="s">
        <v>22</v>
      </c>
      <c r="J249" s="5" t="s">
        <v>3387</v>
      </c>
      <c r="K249" s="5" t="s">
        <v>3393</v>
      </c>
      <c r="L249" s="5" t="s">
        <v>22</v>
      </c>
      <c r="M249" s="5" t="s">
        <v>3527</v>
      </c>
      <c r="N249" s="5" t="s">
        <v>1043</v>
      </c>
      <c r="O249" s="5" t="s">
        <v>33</v>
      </c>
      <c r="P249" s="5" t="s">
        <v>26</v>
      </c>
      <c r="Q249" s="5" t="s">
        <v>34</v>
      </c>
      <c r="R249" s="5">
        <v>2121</v>
      </c>
      <c r="S249" s="5">
        <v>42.381382854453001</v>
      </c>
      <c r="T249" s="5">
        <v>-71.012142679999997</v>
      </c>
    </row>
    <row r="250" spans="1:20" x14ac:dyDescent="0.3">
      <c r="A250" s="5" t="s">
        <v>1044</v>
      </c>
      <c r="B250" s="6">
        <v>22866</v>
      </c>
      <c r="C250" s="6" t="str">
        <f t="shared" si="75"/>
        <v>Active/Unavailable</v>
      </c>
      <c r="D250" s="5" t="s">
        <v>18</v>
      </c>
      <c r="E250" s="5" t="s">
        <v>1045</v>
      </c>
      <c r="F250" s="5" t="s">
        <v>1046</v>
      </c>
      <c r="G250" s="5" t="str">
        <f t="shared" si="67"/>
        <v>Not Available</v>
      </c>
      <c r="H250" s="5" t="s">
        <v>1047</v>
      </c>
      <c r="I250" s="5" t="s">
        <v>22</v>
      </c>
      <c r="J250" s="5" t="s">
        <v>3387</v>
      </c>
      <c r="K250" s="5" t="s">
        <v>3394</v>
      </c>
      <c r="L250" s="5" t="s">
        <v>23</v>
      </c>
      <c r="M250" s="5" t="s">
        <v>3519</v>
      </c>
      <c r="N250" s="5" t="s">
        <v>1048</v>
      </c>
      <c r="O250" s="5" t="s">
        <v>209</v>
      </c>
      <c r="P250" s="5" t="s">
        <v>26</v>
      </c>
      <c r="Q250" s="5" t="s">
        <v>27</v>
      </c>
      <c r="R250" s="5" t="str">
        <f>"0000"</f>
        <v>0000</v>
      </c>
      <c r="S250" s="5">
        <v>42.244103176716202</v>
      </c>
      <c r="T250" s="5">
        <v>-70.986877980000003</v>
      </c>
    </row>
    <row r="251" spans="1:20" x14ac:dyDescent="0.3">
      <c r="A251" s="5" t="s">
        <v>1049</v>
      </c>
      <c r="B251" s="6">
        <v>12720</v>
      </c>
      <c r="C251" s="6">
        <v>43508</v>
      </c>
      <c r="D251" s="5" t="s">
        <v>18</v>
      </c>
      <c r="E251" s="5" t="s">
        <v>1050</v>
      </c>
      <c r="F251" s="5" t="s">
        <v>1051</v>
      </c>
      <c r="G251" s="5" t="str">
        <f t="shared" si="67"/>
        <v>Not Available</v>
      </c>
      <c r="H251" s="5" t="s">
        <v>86</v>
      </c>
      <c r="I251" s="5" t="s">
        <v>22</v>
      </c>
      <c r="J251" s="5" t="s">
        <v>3387</v>
      </c>
      <c r="K251" s="5" t="s">
        <v>3393</v>
      </c>
      <c r="L251" s="5" t="s">
        <v>23</v>
      </c>
      <c r="M251" s="5" t="s">
        <v>3396</v>
      </c>
      <c r="N251" s="5" t="s">
        <v>1052</v>
      </c>
      <c r="O251" s="5" t="s">
        <v>33</v>
      </c>
      <c r="P251" s="5" t="s">
        <v>26</v>
      </c>
      <c r="Q251" s="5" t="s">
        <v>34</v>
      </c>
      <c r="R251" s="5">
        <v>2108</v>
      </c>
      <c r="S251" s="5">
        <v>42.330598261087502</v>
      </c>
      <c r="T251" s="5">
        <v>-70.966356309999995</v>
      </c>
    </row>
    <row r="252" spans="1:20" x14ac:dyDescent="0.3">
      <c r="A252" s="7" t="s">
        <v>1053</v>
      </c>
      <c r="B252" s="6">
        <v>12720</v>
      </c>
      <c r="C252" s="6" t="str">
        <f t="shared" ref="C252:C259" si="77">"Active/Unavailable"</f>
        <v>Active/Unavailable</v>
      </c>
      <c r="D252" s="5" t="s">
        <v>18</v>
      </c>
      <c r="E252" s="5" t="s">
        <v>1054</v>
      </c>
      <c r="F252" s="5" t="s">
        <v>234</v>
      </c>
      <c r="G252" s="5" t="str">
        <f t="shared" si="67"/>
        <v>Not Available</v>
      </c>
      <c r="H252" s="5" t="s">
        <v>1055</v>
      </c>
      <c r="I252" s="5" t="s">
        <v>22</v>
      </c>
      <c r="J252" s="5" t="s">
        <v>3387</v>
      </c>
      <c r="K252" s="5" t="s">
        <v>3393</v>
      </c>
      <c r="L252" s="5" t="s">
        <v>23</v>
      </c>
      <c r="M252" s="5" t="s">
        <v>3544</v>
      </c>
      <c r="N252" s="5" t="s">
        <v>1056</v>
      </c>
      <c r="O252" s="5" t="s">
        <v>33</v>
      </c>
      <c r="P252" s="5" t="s">
        <v>26</v>
      </c>
      <c r="Q252" s="5" t="s">
        <v>34</v>
      </c>
      <c r="R252" s="5">
        <v>2130</v>
      </c>
      <c r="S252" s="5">
        <v>42.290613883056302</v>
      </c>
      <c r="T252" s="5">
        <v>-71.010413819999997</v>
      </c>
    </row>
    <row r="253" spans="1:20" x14ac:dyDescent="0.3">
      <c r="A253" s="5" t="s">
        <v>1057</v>
      </c>
      <c r="B253" s="6">
        <v>27430</v>
      </c>
      <c r="C253" s="6" t="str">
        <f t="shared" si="77"/>
        <v>Active/Unavailable</v>
      </c>
      <c r="D253" s="5" t="s">
        <v>29</v>
      </c>
      <c r="E253" s="5" t="s">
        <v>1058</v>
      </c>
      <c r="F253" s="5" t="s">
        <v>567</v>
      </c>
      <c r="G253" s="5" t="str">
        <f t="shared" si="67"/>
        <v>Not Available</v>
      </c>
      <c r="H253" s="5" t="str">
        <f>"Not Available"</f>
        <v>Not Available</v>
      </c>
      <c r="I253" s="5" t="s">
        <v>22</v>
      </c>
      <c r="J253" s="5" t="s">
        <v>3387</v>
      </c>
      <c r="K253" s="5" t="s">
        <v>3393</v>
      </c>
      <c r="L253" s="5" t="s">
        <v>22</v>
      </c>
      <c r="M253" s="5" t="s">
        <v>3412</v>
      </c>
      <c r="N253" s="5" t="s">
        <v>1059</v>
      </c>
      <c r="O253" s="5" t="s">
        <v>33</v>
      </c>
      <c r="P253" s="5" t="s">
        <v>26</v>
      </c>
      <c r="Q253" s="5" t="s">
        <v>34</v>
      </c>
      <c r="R253" s="5">
        <v>2135</v>
      </c>
      <c r="S253" s="5">
        <v>42.323864659999998</v>
      </c>
      <c r="T253" s="5">
        <v>-71.022818479999998</v>
      </c>
    </row>
    <row r="254" spans="1:20" x14ac:dyDescent="0.3">
      <c r="A254" s="5" t="s">
        <v>1060</v>
      </c>
      <c r="B254" s="6">
        <v>10833</v>
      </c>
      <c r="C254" s="6" t="str">
        <f t="shared" si="77"/>
        <v>Active/Unavailable</v>
      </c>
      <c r="D254" s="5" t="s">
        <v>18</v>
      </c>
      <c r="E254" s="5" t="s">
        <v>1061</v>
      </c>
      <c r="F254" s="5" t="s">
        <v>1062</v>
      </c>
      <c r="G254" s="5" t="str">
        <f t="shared" si="67"/>
        <v>Not Available</v>
      </c>
      <c r="H254" s="5" t="s">
        <v>1063</v>
      </c>
      <c r="I254" s="5" t="s">
        <v>22</v>
      </c>
      <c r="J254" s="5" t="s">
        <v>3388</v>
      </c>
      <c r="K254" s="5" t="s">
        <v>3393</v>
      </c>
      <c r="L254" s="5" t="s">
        <v>23</v>
      </c>
      <c r="M254" s="5" t="s">
        <v>3482</v>
      </c>
      <c r="N254" s="5" t="s">
        <v>1064</v>
      </c>
      <c r="O254" s="5" t="s">
        <v>108</v>
      </c>
      <c r="P254" s="5" t="s">
        <v>26</v>
      </c>
      <c r="Q254" s="5" t="s">
        <v>34</v>
      </c>
      <c r="R254" s="5" t="str">
        <f>"0000"</f>
        <v>0000</v>
      </c>
      <c r="S254" s="5">
        <v>42.385071306586902</v>
      </c>
      <c r="T254" s="5">
        <v>-71.037111870000004</v>
      </c>
    </row>
    <row r="255" spans="1:20" x14ac:dyDescent="0.3">
      <c r="A255" s="5" t="s">
        <v>1065</v>
      </c>
      <c r="B255" s="6">
        <v>20436</v>
      </c>
      <c r="C255" s="6" t="str">
        <f t="shared" si="77"/>
        <v>Active/Unavailable</v>
      </c>
      <c r="D255" s="5" t="s">
        <v>18</v>
      </c>
      <c r="E255" s="5" t="s">
        <v>1066</v>
      </c>
      <c r="F255" s="5" t="s">
        <v>775</v>
      </c>
      <c r="G255" s="5" t="str">
        <f t="shared" si="67"/>
        <v>Not Available</v>
      </c>
      <c r="H255" s="5" t="s">
        <v>1067</v>
      </c>
      <c r="I255" s="5" t="s">
        <v>22</v>
      </c>
      <c r="J255" s="5" t="s">
        <v>3387</v>
      </c>
      <c r="K255" s="5" t="s">
        <v>3393</v>
      </c>
      <c r="L255" s="5" t="s">
        <v>23</v>
      </c>
      <c r="M255" s="5" t="s">
        <v>3545</v>
      </c>
      <c r="N255" s="5" t="s">
        <v>1068</v>
      </c>
      <c r="O255" s="5" t="s">
        <v>33</v>
      </c>
      <c r="P255" s="5" t="s">
        <v>26</v>
      </c>
      <c r="Q255" s="5" t="s">
        <v>34</v>
      </c>
      <c r="R255" s="5">
        <v>2111</v>
      </c>
      <c r="S255" s="5">
        <v>42.311619452564599</v>
      </c>
      <c r="T255" s="5">
        <v>-70.992482690000003</v>
      </c>
    </row>
    <row r="256" spans="1:20" x14ac:dyDescent="0.3">
      <c r="A256" s="5" t="s">
        <v>1069</v>
      </c>
      <c r="B256" s="6">
        <v>17998</v>
      </c>
      <c r="C256" s="6" t="str">
        <f t="shared" si="77"/>
        <v>Active/Unavailable</v>
      </c>
      <c r="D256" s="5" t="s">
        <v>29</v>
      </c>
      <c r="E256" s="5" t="s">
        <v>1070</v>
      </c>
      <c r="F256" s="5" t="s">
        <v>3366</v>
      </c>
      <c r="G256" s="5" t="str">
        <f t="shared" si="67"/>
        <v>Not Available</v>
      </c>
      <c r="H256" s="5" t="str">
        <f t="shared" ref="H256:H258" si="78">"Not Available"</f>
        <v>Not Available</v>
      </c>
      <c r="I256" s="5" t="s">
        <v>22</v>
      </c>
      <c r="J256" s="5" t="s">
        <v>3387</v>
      </c>
      <c r="K256" s="5" t="s">
        <v>3394</v>
      </c>
      <c r="L256" s="5" t="s">
        <v>22</v>
      </c>
      <c r="M256" s="5" t="s">
        <v>3441</v>
      </c>
      <c r="N256" s="5" t="s">
        <v>1072</v>
      </c>
      <c r="O256" s="5" t="s">
        <v>33</v>
      </c>
      <c r="P256" s="5" t="s">
        <v>26</v>
      </c>
      <c r="Q256" s="5" t="s">
        <v>34</v>
      </c>
      <c r="R256" s="5">
        <v>2199</v>
      </c>
      <c r="S256" s="5">
        <v>42.326060685729999</v>
      </c>
      <c r="T256" s="5">
        <v>-71.025627689999993</v>
      </c>
    </row>
    <row r="257" spans="1:20" x14ac:dyDescent="0.3">
      <c r="A257" s="5" t="s">
        <v>1073</v>
      </c>
      <c r="B257" s="6">
        <v>21232</v>
      </c>
      <c r="C257" s="6" t="str">
        <f t="shared" si="77"/>
        <v>Active/Unavailable</v>
      </c>
      <c r="D257" s="5" t="s">
        <v>29</v>
      </c>
      <c r="E257" s="5" t="s">
        <v>1074</v>
      </c>
      <c r="F257" s="5" t="s">
        <v>221</v>
      </c>
      <c r="G257" s="5" t="str">
        <f t="shared" si="67"/>
        <v>Not Available</v>
      </c>
      <c r="H257" s="5" t="str">
        <f t="shared" si="78"/>
        <v>Not Available</v>
      </c>
      <c r="I257" s="5" t="s">
        <v>22</v>
      </c>
      <c r="J257" s="5" t="s">
        <v>3388</v>
      </c>
      <c r="K257" s="5" t="s">
        <v>3393</v>
      </c>
      <c r="L257" s="5" t="s">
        <v>22</v>
      </c>
      <c r="M257" s="5" t="s">
        <v>3546</v>
      </c>
      <c r="N257" s="5" t="s">
        <v>1075</v>
      </c>
      <c r="O257" s="5" t="s">
        <v>25</v>
      </c>
      <c r="P257" s="5" t="s">
        <v>26</v>
      </c>
      <c r="Q257" s="5" t="s">
        <v>27</v>
      </c>
      <c r="R257" s="5">
        <v>2171</v>
      </c>
      <c r="S257" s="5">
        <v>42.318332762654599</v>
      </c>
      <c r="T257" s="5">
        <v>-70.992010059999998</v>
      </c>
    </row>
    <row r="258" spans="1:20" x14ac:dyDescent="0.3">
      <c r="A258" s="5" t="s">
        <v>1076</v>
      </c>
      <c r="B258" s="6">
        <v>11779</v>
      </c>
      <c r="C258" s="6" t="str">
        <f t="shared" si="77"/>
        <v>Active/Unavailable</v>
      </c>
      <c r="D258" s="5" t="s">
        <v>100</v>
      </c>
      <c r="E258" s="5" t="s">
        <v>1077</v>
      </c>
      <c r="F258" s="5" t="s">
        <v>852</v>
      </c>
      <c r="G258" s="5" t="str">
        <f t="shared" si="67"/>
        <v>Not Available</v>
      </c>
      <c r="H258" s="5" t="str">
        <f t="shared" si="78"/>
        <v>Not Available</v>
      </c>
      <c r="I258" s="5" t="s">
        <v>65</v>
      </c>
      <c r="J258" s="5" t="s">
        <v>3387</v>
      </c>
      <c r="K258" s="5" t="s">
        <v>3393</v>
      </c>
      <c r="L258" s="5" t="s">
        <v>23</v>
      </c>
      <c r="M258" s="5" t="s">
        <v>3501</v>
      </c>
      <c r="N258" s="5" t="s">
        <v>1078</v>
      </c>
      <c r="O258" s="5" t="s">
        <v>33</v>
      </c>
      <c r="P258" s="5" t="s">
        <v>26</v>
      </c>
      <c r="Q258" s="5" t="s">
        <v>34</v>
      </c>
      <c r="R258" s="5">
        <v>2115</v>
      </c>
      <c r="S258" s="5">
        <v>42.377585437243503</v>
      </c>
      <c r="T258" s="5">
        <v>-71.071158170000004</v>
      </c>
    </row>
    <row r="259" spans="1:20" x14ac:dyDescent="0.3">
      <c r="A259" s="5" t="s">
        <v>1079</v>
      </c>
      <c r="B259" s="6">
        <v>24979</v>
      </c>
      <c r="C259" s="6" t="str">
        <f t="shared" si="77"/>
        <v>Active/Unavailable</v>
      </c>
      <c r="D259" s="5" t="s">
        <v>18</v>
      </c>
      <c r="E259" s="5" t="s">
        <v>1080</v>
      </c>
      <c r="F259" s="5" t="s">
        <v>1081</v>
      </c>
      <c r="G259" s="5" t="str">
        <f t="shared" si="67"/>
        <v>Not Available</v>
      </c>
      <c r="H259" s="5" t="s">
        <v>1082</v>
      </c>
      <c r="I259" s="5" t="s">
        <v>22</v>
      </c>
      <c r="J259" s="5" t="s">
        <v>3387</v>
      </c>
      <c r="K259" s="5" t="s">
        <v>3394</v>
      </c>
      <c r="L259" s="5" t="s">
        <v>23</v>
      </c>
      <c r="M259" s="5" t="s">
        <v>3449</v>
      </c>
      <c r="N259" s="5" t="s">
        <v>1083</v>
      </c>
      <c r="O259" s="5" t="s">
        <v>33</v>
      </c>
      <c r="P259" s="5" t="s">
        <v>26</v>
      </c>
      <c r="Q259" s="5" t="s">
        <v>34</v>
      </c>
      <c r="R259" s="5">
        <v>2122</v>
      </c>
      <c r="S259" s="5">
        <v>42.395982235067997</v>
      </c>
      <c r="T259" s="5">
        <v>-71.006261089999995</v>
      </c>
    </row>
    <row r="260" spans="1:20" x14ac:dyDescent="0.3">
      <c r="A260" s="5" t="s">
        <v>1084</v>
      </c>
      <c r="B260" s="6">
        <v>10536</v>
      </c>
      <c r="C260" s="6">
        <v>43957</v>
      </c>
      <c r="D260" s="5" t="s">
        <v>18</v>
      </c>
      <c r="E260" s="5" t="s">
        <v>1085</v>
      </c>
      <c r="F260" s="5" t="s">
        <v>1055</v>
      </c>
      <c r="G260" s="5" t="str">
        <f t="shared" si="67"/>
        <v>Not Available</v>
      </c>
      <c r="H260" s="5" t="s">
        <v>1086</v>
      </c>
      <c r="I260" s="5" t="s">
        <v>22</v>
      </c>
      <c r="J260" s="5" t="s">
        <v>3387</v>
      </c>
      <c r="K260" s="5" t="s">
        <v>3393</v>
      </c>
      <c r="L260" s="5" t="s">
        <v>23</v>
      </c>
      <c r="M260" s="5" t="s">
        <v>3547</v>
      </c>
      <c r="N260" s="5" t="s">
        <v>1087</v>
      </c>
      <c r="O260" s="5" t="s">
        <v>33</v>
      </c>
      <c r="P260" s="5" t="s">
        <v>26</v>
      </c>
      <c r="Q260" s="5" t="s">
        <v>34</v>
      </c>
      <c r="R260" s="5">
        <v>2467</v>
      </c>
      <c r="S260" s="5">
        <v>42.357363375276101</v>
      </c>
      <c r="T260" s="5">
        <v>-71.059829429999994</v>
      </c>
    </row>
    <row r="261" spans="1:20" x14ac:dyDescent="0.3">
      <c r="A261" s="5" t="s">
        <v>1088</v>
      </c>
      <c r="B261" s="6">
        <v>10536</v>
      </c>
      <c r="C261" s="6">
        <v>42795</v>
      </c>
      <c r="D261" s="5" t="s">
        <v>18</v>
      </c>
      <c r="E261" s="5" t="s">
        <v>1089</v>
      </c>
      <c r="F261" s="5" t="s">
        <v>250</v>
      </c>
      <c r="G261" s="5" t="str">
        <f t="shared" si="67"/>
        <v>Not Available</v>
      </c>
      <c r="H261" s="5" t="s">
        <v>64</v>
      </c>
      <c r="I261" s="5" t="s">
        <v>22</v>
      </c>
      <c r="J261" s="5" t="s">
        <v>3387</v>
      </c>
      <c r="K261" s="5" t="s">
        <v>3393</v>
      </c>
      <c r="L261" s="5" t="s">
        <v>23</v>
      </c>
      <c r="M261" s="5" t="s">
        <v>3457</v>
      </c>
      <c r="N261" s="5" t="s">
        <v>1090</v>
      </c>
      <c r="O261" s="5" t="s">
        <v>33</v>
      </c>
      <c r="P261" s="5" t="s">
        <v>26</v>
      </c>
      <c r="Q261" s="5" t="s">
        <v>34</v>
      </c>
      <c r="R261" s="5">
        <v>2122</v>
      </c>
      <c r="S261" s="5">
        <v>42.332343567447701</v>
      </c>
      <c r="T261" s="5">
        <v>-71.108492269999999</v>
      </c>
    </row>
    <row r="262" spans="1:20" x14ac:dyDescent="0.3">
      <c r="A262" s="7" t="s">
        <v>1091</v>
      </c>
      <c r="B262" s="6">
        <v>10536</v>
      </c>
      <c r="C262" s="6" t="str">
        <f t="shared" ref="C262:C297" si="79">"Active/Unavailable"</f>
        <v>Active/Unavailable</v>
      </c>
      <c r="D262" s="5" t="s">
        <v>100</v>
      </c>
      <c r="E262" s="5" t="s">
        <v>1092</v>
      </c>
      <c r="F262" s="5" t="s">
        <v>193</v>
      </c>
      <c r="G262" s="5" t="str">
        <f t="shared" si="67"/>
        <v>Not Available</v>
      </c>
      <c r="H262" s="5" t="str">
        <f>"Not Available"</f>
        <v>Not Available</v>
      </c>
      <c r="I262" s="5" t="s">
        <v>65</v>
      </c>
      <c r="J262" s="5" t="s">
        <v>3387</v>
      </c>
      <c r="K262" s="5" t="s">
        <v>3393</v>
      </c>
      <c r="L262" s="5" t="s">
        <v>23</v>
      </c>
      <c r="M262" s="5" t="s">
        <v>3548</v>
      </c>
      <c r="N262" s="5" t="s">
        <v>1093</v>
      </c>
      <c r="O262" s="5" t="s">
        <v>33</v>
      </c>
      <c r="P262" s="5" t="s">
        <v>26</v>
      </c>
      <c r="Q262" s="5" t="s">
        <v>34</v>
      </c>
      <c r="R262" s="5" t="str">
        <f>"0000"</f>
        <v>0000</v>
      </c>
      <c r="S262" s="5">
        <v>42.317581202500399</v>
      </c>
      <c r="T262" s="5">
        <v>-71.046679699999999</v>
      </c>
    </row>
    <row r="263" spans="1:20" x14ac:dyDescent="0.3">
      <c r="A263" s="5" t="s">
        <v>1094</v>
      </c>
      <c r="B263" s="6">
        <v>28127</v>
      </c>
      <c r="C263" s="6" t="str">
        <f t="shared" si="79"/>
        <v>Active/Unavailable</v>
      </c>
      <c r="D263" s="5" t="s">
        <v>18</v>
      </c>
      <c r="E263" s="5" t="s">
        <v>1095</v>
      </c>
      <c r="F263" s="5" t="s">
        <v>906</v>
      </c>
      <c r="G263" s="5" t="str">
        <f t="shared" si="67"/>
        <v>Not Available</v>
      </c>
      <c r="H263" s="5" t="s">
        <v>568</v>
      </c>
      <c r="I263" s="5" t="s">
        <v>22</v>
      </c>
      <c r="J263" s="5" t="s">
        <v>3387</v>
      </c>
      <c r="K263" s="5" t="s">
        <v>3393</v>
      </c>
      <c r="L263" s="5" t="s">
        <v>23</v>
      </c>
      <c r="M263" s="5" t="s">
        <v>3549</v>
      </c>
      <c r="N263" s="5" t="s">
        <v>1096</v>
      </c>
      <c r="O263" s="5" t="s">
        <v>88</v>
      </c>
      <c r="P263" s="5" t="s">
        <v>26</v>
      </c>
      <c r="Q263" s="5" t="s">
        <v>57</v>
      </c>
      <c r="R263" s="5">
        <v>2145</v>
      </c>
      <c r="S263" s="5">
        <v>42.366424875410502</v>
      </c>
      <c r="T263" s="5">
        <v>-71.090261170000005</v>
      </c>
    </row>
    <row r="264" spans="1:20" x14ac:dyDescent="0.3">
      <c r="A264" s="5" t="s">
        <v>1097</v>
      </c>
      <c r="B264" s="6">
        <v>26711</v>
      </c>
      <c r="C264" s="6" t="str">
        <f t="shared" si="79"/>
        <v>Active/Unavailable</v>
      </c>
      <c r="D264" s="5" t="s">
        <v>29</v>
      </c>
      <c r="E264" s="5" t="s">
        <v>1098</v>
      </c>
      <c r="F264" s="5" t="s">
        <v>1099</v>
      </c>
      <c r="G264" s="5" t="str">
        <f t="shared" si="67"/>
        <v>Not Available</v>
      </c>
      <c r="H264" s="5" t="str">
        <f t="shared" ref="H264:H267" si="80">"Not Available"</f>
        <v>Not Available</v>
      </c>
      <c r="I264" s="5" t="s">
        <v>22</v>
      </c>
      <c r="J264" s="5" t="s">
        <v>3387</v>
      </c>
      <c r="K264" s="5" t="s">
        <v>3393</v>
      </c>
      <c r="L264" s="5" t="s">
        <v>22</v>
      </c>
      <c r="M264" s="5" t="s">
        <v>3550</v>
      </c>
      <c r="N264" s="5" t="s">
        <v>1100</v>
      </c>
      <c r="O264" s="5" t="s">
        <v>172</v>
      </c>
      <c r="P264" s="5" t="s">
        <v>26</v>
      </c>
      <c r="Q264" s="5" t="s">
        <v>34</v>
      </c>
      <c r="R264" s="5">
        <v>2149</v>
      </c>
      <c r="S264" s="5">
        <v>42.382823587274601</v>
      </c>
      <c r="T264" s="5">
        <v>-71.042966030000002</v>
      </c>
    </row>
    <row r="265" spans="1:20" x14ac:dyDescent="0.3">
      <c r="A265" s="5" t="s">
        <v>1101</v>
      </c>
      <c r="B265" s="6">
        <v>9027</v>
      </c>
      <c r="C265" s="6" t="str">
        <f t="shared" si="79"/>
        <v>Active/Unavailable</v>
      </c>
      <c r="D265" s="5" t="s">
        <v>29</v>
      </c>
      <c r="E265" s="5" t="s">
        <v>1102</v>
      </c>
      <c r="F265" s="5" t="s">
        <v>1103</v>
      </c>
      <c r="G265" s="5" t="str">
        <f t="shared" si="67"/>
        <v>Not Available</v>
      </c>
      <c r="H265" s="5" t="str">
        <f t="shared" si="80"/>
        <v>Not Available</v>
      </c>
      <c r="I265" s="5" t="s">
        <v>22</v>
      </c>
      <c r="J265" s="5" t="s">
        <v>3387</v>
      </c>
      <c r="K265" s="5" t="s">
        <v>3393</v>
      </c>
      <c r="L265" s="5" t="s">
        <v>22</v>
      </c>
      <c r="M265" s="5" t="s">
        <v>3443</v>
      </c>
      <c r="N265" s="5" t="s">
        <v>1104</v>
      </c>
      <c r="O265" s="5" t="s">
        <v>25</v>
      </c>
      <c r="P265" s="5" t="s">
        <v>26</v>
      </c>
      <c r="Q265" s="5" t="s">
        <v>27</v>
      </c>
      <c r="R265" s="5">
        <v>2169</v>
      </c>
      <c r="S265" s="5">
        <v>42.242732242699802</v>
      </c>
      <c r="T265" s="5">
        <v>-70.985875759999999</v>
      </c>
    </row>
    <row r="266" spans="1:20" x14ac:dyDescent="0.3">
      <c r="A266" s="5" t="s">
        <v>1105</v>
      </c>
      <c r="B266" s="6">
        <v>20497</v>
      </c>
      <c r="C266" s="6" t="str">
        <f t="shared" si="79"/>
        <v>Active/Unavailable</v>
      </c>
      <c r="D266" s="5" t="s">
        <v>100</v>
      </c>
      <c r="E266" s="5" t="s">
        <v>1106</v>
      </c>
      <c r="F266" s="5" t="s">
        <v>1000</v>
      </c>
      <c r="G266" s="5" t="str">
        <f t="shared" si="67"/>
        <v>Not Available</v>
      </c>
      <c r="H266" s="5" t="str">
        <f t="shared" si="80"/>
        <v>Not Available</v>
      </c>
      <c r="I266" s="5" t="s">
        <v>65</v>
      </c>
      <c r="J266" s="5" t="s">
        <v>3387</v>
      </c>
      <c r="K266" s="5" t="s">
        <v>3393</v>
      </c>
      <c r="L266" s="5" t="s">
        <v>23</v>
      </c>
      <c r="M266" s="5" t="s">
        <v>3551</v>
      </c>
      <c r="N266" s="5" t="s">
        <v>1107</v>
      </c>
      <c r="O266" s="5" t="s">
        <v>25</v>
      </c>
      <c r="P266" s="5" t="s">
        <v>26</v>
      </c>
      <c r="Q266" s="5" t="s">
        <v>27</v>
      </c>
      <c r="R266" s="5">
        <v>2186</v>
      </c>
      <c r="S266" s="5">
        <v>42.287238863946897</v>
      </c>
      <c r="T266" s="5">
        <v>-71.010067649999996</v>
      </c>
    </row>
    <row r="267" spans="1:20" x14ac:dyDescent="0.3">
      <c r="A267" s="5" t="s">
        <v>1108</v>
      </c>
      <c r="B267" s="6">
        <v>13994</v>
      </c>
      <c r="C267" s="6" t="str">
        <f t="shared" si="79"/>
        <v>Active/Unavailable</v>
      </c>
      <c r="D267" s="5" t="s">
        <v>29</v>
      </c>
      <c r="E267" s="5" t="s">
        <v>1109</v>
      </c>
      <c r="F267" s="5" t="s">
        <v>1110</v>
      </c>
      <c r="G267" s="5" t="str">
        <f t="shared" si="67"/>
        <v>Not Available</v>
      </c>
      <c r="H267" s="5" t="str">
        <f t="shared" si="80"/>
        <v>Not Available</v>
      </c>
      <c r="I267" s="5" t="s">
        <v>22</v>
      </c>
      <c r="J267" s="5" t="s">
        <v>3387</v>
      </c>
      <c r="K267" s="5" t="s">
        <v>3393</v>
      </c>
      <c r="L267" s="5" t="s">
        <v>22</v>
      </c>
      <c r="M267" s="5" t="s">
        <v>3513</v>
      </c>
      <c r="N267" s="5" t="s">
        <v>1111</v>
      </c>
      <c r="O267" s="5" t="s">
        <v>88</v>
      </c>
      <c r="P267" s="5" t="s">
        <v>26</v>
      </c>
      <c r="Q267" s="5" t="s">
        <v>57</v>
      </c>
      <c r="R267" s="5">
        <v>2140</v>
      </c>
      <c r="S267" s="5">
        <v>42.387024126488598</v>
      </c>
      <c r="T267" s="5">
        <v>-71.106926909999999</v>
      </c>
    </row>
    <row r="268" spans="1:20" x14ac:dyDescent="0.3">
      <c r="A268" s="5" t="s">
        <v>1112</v>
      </c>
      <c r="B268" s="6">
        <v>20999</v>
      </c>
      <c r="C268" s="6" t="str">
        <f t="shared" si="79"/>
        <v>Active/Unavailable</v>
      </c>
      <c r="D268" s="5" t="s">
        <v>18</v>
      </c>
      <c r="E268" s="5" t="s">
        <v>1113</v>
      </c>
      <c r="F268" s="5" t="s">
        <v>175</v>
      </c>
      <c r="G268" s="5" t="str">
        <f t="shared" si="67"/>
        <v>Not Available</v>
      </c>
      <c r="H268" s="5" t="s">
        <v>1114</v>
      </c>
      <c r="I268" s="5" t="s">
        <v>22</v>
      </c>
      <c r="J268" s="5" t="s">
        <v>3387</v>
      </c>
      <c r="K268" s="5" t="s">
        <v>3393</v>
      </c>
      <c r="L268" s="5" t="s">
        <v>23</v>
      </c>
      <c r="M268" s="5" t="s">
        <v>3501</v>
      </c>
      <c r="N268" s="5" t="s">
        <v>1115</v>
      </c>
      <c r="O268" s="5" t="s">
        <v>25</v>
      </c>
      <c r="P268" s="5" t="s">
        <v>26</v>
      </c>
      <c r="Q268" s="5" t="s">
        <v>27</v>
      </c>
      <c r="R268" s="5">
        <v>2171</v>
      </c>
      <c r="S268" s="5">
        <v>42.282249735255903</v>
      </c>
      <c r="T268" s="5">
        <v>-70.971836530000004</v>
      </c>
    </row>
    <row r="269" spans="1:20" x14ac:dyDescent="0.3">
      <c r="A269" s="5" t="s">
        <v>1116</v>
      </c>
      <c r="B269" s="6">
        <v>25567</v>
      </c>
      <c r="C269" s="6" t="str">
        <f t="shared" si="79"/>
        <v>Active/Unavailable</v>
      </c>
      <c r="D269" s="5" t="s">
        <v>29</v>
      </c>
      <c r="E269" s="5" t="s">
        <v>1074</v>
      </c>
      <c r="F269" s="5" t="s">
        <v>1117</v>
      </c>
      <c r="G269" s="5" t="str">
        <f t="shared" si="67"/>
        <v>Not Available</v>
      </c>
      <c r="H269" s="5" t="str">
        <f>"Not Available"</f>
        <v>Not Available</v>
      </c>
      <c r="I269" s="5" t="s">
        <v>22</v>
      </c>
      <c r="J269" s="5" t="s">
        <v>3387</v>
      </c>
      <c r="K269" s="5" t="s">
        <v>3394</v>
      </c>
      <c r="L269" s="5" t="s">
        <v>22</v>
      </c>
      <c r="M269" s="5" t="s">
        <v>3420</v>
      </c>
      <c r="N269" s="5" t="s">
        <v>1118</v>
      </c>
      <c r="O269" s="5" t="s">
        <v>33</v>
      </c>
      <c r="P269" s="5" t="s">
        <v>26</v>
      </c>
      <c r="Q269" s="5" t="s">
        <v>34</v>
      </c>
      <c r="R269" s="5">
        <v>2132</v>
      </c>
      <c r="S269" s="5">
        <v>42.351487543364698</v>
      </c>
      <c r="T269" s="5">
        <v>-71.025353670000001</v>
      </c>
    </row>
    <row r="270" spans="1:20" x14ac:dyDescent="0.3">
      <c r="A270" s="5" t="s">
        <v>1119</v>
      </c>
      <c r="B270" s="6">
        <v>27369</v>
      </c>
      <c r="C270" s="6" t="str">
        <f t="shared" si="79"/>
        <v>Active/Unavailable</v>
      </c>
      <c r="D270" s="5" t="s">
        <v>18</v>
      </c>
      <c r="E270" s="5" t="s">
        <v>1120</v>
      </c>
      <c r="F270" s="5" t="s">
        <v>816</v>
      </c>
      <c r="G270" s="5" t="str">
        <f t="shared" si="67"/>
        <v>Not Available</v>
      </c>
      <c r="H270" s="5" t="s">
        <v>617</v>
      </c>
      <c r="I270" s="5" t="s">
        <v>22</v>
      </c>
      <c r="J270" s="5" t="s">
        <v>3388</v>
      </c>
      <c r="K270" s="5" t="s">
        <v>3393</v>
      </c>
      <c r="L270" s="5" t="s">
        <v>23</v>
      </c>
      <c r="M270" s="5" t="s">
        <v>3552</v>
      </c>
      <c r="N270" s="5" t="s">
        <v>1121</v>
      </c>
      <c r="O270" s="5" t="s">
        <v>33</v>
      </c>
      <c r="P270" s="5" t="s">
        <v>26</v>
      </c>
      <c r="Q270" s="5" t="s">
        <v>34</v>
      </c>
      <c r="R270" s="5">
        <v>2151</v>
      </c>
      <c r="S270" s="5">
        <v>42.301345566190001</v>
      </c>
      <c r="T270" s="5">
        <v>-71.059605160000004</v>
      </c>
    </row>
    <row r="271" spans="1:20" x14ac:dyDescent="0.3">
      <c r="A271" s="5" t="s">
        <v>1122</v>
      </c>
      <c r="B271" s="6">
        <v>18310</v>
      </c>
      <c r="C271" s="6" t="str">
        <f t="shared" si="79"/>
        <v>Active/Unavailable</v>
      </c>
      <c r="D271" s="5" t="s">
        <v>18</v>
      </c>
      <c r="E271" s="5" t="s">
        <v>1123</v>
      </c>
      <c r="F271" s="5" t="s">
        <v>295</v>
      </c>
      <c r="G271" s="5" t="str">
        <f t="shared" si="67"/>
        <v>Not Available</v>
      </c>
      <c r="H271" s="5" t="s">
        <v>1124</v>
      </c>
      <c r="I271" s="5" t="s">
        <v>22</v>
      </c>
      <c r="J271" s="5" t="s">
        <v>3389</v>
      </c>
      <c r="K271" s="5" t="s">
        <v>3394</v>
      </c>
      <c r="L271" s="5" t="s">
        <v>23</v>
      </c>
      <c r="M271" s="5" t="s">
        <v>3553</v>
      </c>
      <c r="N271" s="5" t="s">
        <v>1125</v>
      </c>
      <c r="O271" s="5" t="s">
        <v>33</v>
      </c>
      <c r="P271" s="5" t="s">
        <v>26</v>
      </c>
      <c r="Q271" s="5" t="s">
        <v>34</v>
      </c>
      <c r="R271" s="5">
        <v>2114</v>
      </c>
      <c r="S271" s="5">
        <v>42.356334635496601</v>
      </c>
      <c r="T271" s="5">
        <v>-71.082620969999994</v>
      </c>
    </row>
    <row r="272" spans="1:20" x14ac:dyDescent="0.3">
      <c r="A272" s="7" t="s">
        <v>1126</v>
      </c>
      <c r="B272" s="6">
        <v>16361</v>
      </c>
      <c r="C272" s="6" t="str">
        <f t="shared" si="79"/>
        <v>Active/Unavailable</v>
      </c>
      <c r="D272" s="5" t="s">
        <v>18</v>
      </c>
      <c r="E272" s="5" t="s">
        <v>1127</v>
      </c>
      <c r="F272" s="5" t="s">
        <v>1128</v>
      </c>
      <c r="G272" s="5" t="str">
        <f t="shared" si="67"/>
        <v>Not Available</v>
      </c>
      <c r="H272" s="5" t="s">
        <v>1129</v>
      </c>
      <c r="I272" s="5" t="s">
        <v>22</v>
      </c>
      <c r="J272" s="5" t="s">
        <v>3387</v>
      </c>
      <c r="K272" s="5" t="s">
        <v>3393</v>
      </c>
      <c r="L272" s="5" t="s">
        <v>23</v>
      </c>
      <c r="M272" s="5" t="s">
        <v>3540</v>
      </c>
      <c r="N272" s="5" t="s">
        <v>1130</v>
      </c>
      <c r="O272" s="5" t="s">
        <v>25</v>
      </c>
      <c r="P272" s="5" t="s">
        <v>26</v>
      </c>
      <c r="Q272" s="5" t="s">
        <v>27</v>
      </c>
      <c r="R272" s="5">
        <v>2169</v>
      </c>
      <c r="S272" s="5">
        <v>42.257954378049803</v>
      </c>
      <c r="T272" s="5">
        <v>-70.959332869999997</v>
      </c>
    </row>
    <row r="273" spans="1:20" x14ac:dyDescent="0.3">
      <c r="A273" s="5" t="s">
        <v>1131</v>
      </c>
      <c r="B273" s="6">
        <v>15328</v>
      </c>
      <c r="C273" s="6" t="str">
        <f t="shared" si="79"/>
        <v>Active/Unavailable</v>
      </c>
      <c r="D273" s="5" t="s">
        <v>29</v>
      </c>
      <c r="E273" s="5" t="s">
        <v>1132</v>
      </c>
      <c r="F273" s="5" t="s">
        <v>1067</v>
      </c>
      <c r="G273" s="5" t="str">
        <f t="shared" si="67"/>
        <v>Not Available</v>
      </c>
      <c r="H273" s="5" t="str">
        <f>"Not Available"</f>
        <v>Not Available</v>
      </c>
      <c r="I273" s="5" t="s">
        <v>22</v>
      </c>
      <c r="J273" s="5" t="s">
        <v>3388</v>
      </c>
      <c r="K273" s="5" t="s">
        <v>3393</v>
      </c>
      <c r="L273" s="5" t="s">
        <v>22</v>
      </c>
      <c r="M273" s="5" t="s">
        <v>3554</v>
      </c>
      <c r="N273" s="5" t="s">
        <v>1133</v>
      </c>
      <c r="O273" s="5" t="s">
        <v>33</v>
      </c>
      <c r="P273" s="5" t="s">
        <v>26</v>
      </c>
      <c r="Q273" s="5" t="s">
        <v>34</v>
      </c>
      <c r="R273" s="5">
        <v>2152</v>
      </c>
      <c r="S273" s="5">
        <v>42.338321060113699</v>
      </c>
      <c r="T273" s="5">
        <v>-71.155455529999998</v>
      </c>
    </row>
    <row r="274" spans="1:20" x14ac:dyDescent="0.3">
      <c r="A274" s="5" t="s">
        <v>1134</v>
      </c>
      <c r="B274" s="6">
        <v>13450</v>
      </c>
      <c r="C274" s="6" t="str">
        <f t="shared" si="79"/>
        <v>Active/Unavailable</v>
      </c>
      <c r="D274" s="5" t="s">
        <v>18</v>
      </c>
      <c r="E274" s="5" t="s">
        <v>1135</v>
      </c>
      <c r="F274" s="5" t="s">
        <v>532</v>
      </c>
      <c r="G274" s="5" t="str">
        <f t="shared" si="67"/>
        <v>Not Available</v>
      </c>
      <c r="H274" s="5" t="s">
        <v>683</v>
      </c>
      <c r="I274" s="5" t="s">
        <v>22</v>
      </c>
      <c r="J274" s="5" t="s">
        <v>3387</v>
      </c>
      <c r="K274" s="5" t="s">
        <v>3393</v>
      </c>
      <c r="L274" s="5" t="s">
        <v>23</v>
      </c>
      <c r="M274" s="5" t="s">
        <v>3402</v>
      </c>
      <c r="N274" s="5" t="s">
        <v>1136</v>
      </c>
      <c r="O274" s="5" t="s">
        <v>33</v>
      </c>
      <c r="P274" s="5" t="s">
        <v>26</v>
      </c>
      <c r="Q274" s="5" t="s">
        <v>34</v>
      </c>
      <c r="R274" s="5">
        <v>2136</v>
      </c>
      <c r="S274" s="5">
        <v>42.327134620462502</v>
      </c>
      <c r="T274" s="5">
        <v>-71.009508409999995</v>
      </c>
    </row>
    <row r="275" spans="1:20" x14ac:dyDescent="0.3">
      <c r="A275" s="5" t="s">
        <v>1137</v>
      </c>
      <c r="B275" s="6">
        <v>10327</v>
      </c>
      <c r="C275" s="6" t="str">
        <f t="shared" si="79"/>
        <v>Active/Unavailable</v>
      </c>
      <c r="D275" s="5" t="s">
        <v>29</v>
      </c>
      <c r="E275" s="5" t="s">
        <v>1138</v>
      </c>
      <c r="F275" s="5" t="s">
        <v>1139</v>
      </c>
      <c r="G275" s="5" t="str">
        <f t="shared" si="67"/>
        <v>Not Available</v>
      </c>
      <c r="H275" s="5" t="str">
        <f>"Not Available"</f>
        <v>Not Available</v>
      </c>
      <c r="I275" s="5" t="s">
        <v>22</v>
      </c>
      <c r="J275" s="5" t="s">
        <v>3387</v>
      </c>
      <c r="K275" s="5" t="s">
        <v>3393</v>
      </c>
      <c r="L275" s="5" t="s">
        <v>22</v>
      </c>
      <c r="M275" s="5" t="s">
        <v>3478</v>
      </c>
      <c r="N275" s="5" t="s">
        <v>1140</v>
      </c>
      <c r="O275" s="5" t="s">
        <v>807</v>
      </c>
      <c r="P275" s="5" t="s">
        <v>26</v>
      </c>
      <c r="Q275" s="5" t="s">
        <v>317</v>
      </c>
      <c r="R275" s="5">
        <v>2066</v>
      </c>
      <c r="S275" s="5">
        <v>42.240765937779102</v>
      </c>
      <c r="T275" s="5">
        <v>-70.730824249999998</v>
      </c>
    </row>
    <row r="276" spans="1:20" x14ac:dyDescent="0.3">
      <c r="A276" s="5" t="s">
        <v>1141</v>
      </c>
      <c r="B276" s="6">
        <v>30204</v>
      </c>
      <c r="C276" s="6" t="str">
        <f t="shared" si="79"/>
        <v>Active/Unavailable</v>
      </c>
      <c r="D276" s="5" t="s">
        <v>18</v>
      </c>
      <c r="E276" s="5" t="s">
        <v>1142</v>
      </c>
      <c r="F276" s="5" t="s">
        <v>1086</v>
      </c>
      <c r="G276" s="5" t="str">
        <f t="shared" si="67"/>
        <v>Not Available</v>
      </c>
      <c r="H276" s="5" t="s">
        <v>1143</v>
      </c>
      <c r="I276" s="5" t="s">
        <v>22</v>
      </c>
      <c r="J276" s="5" t="s">
        <v>3387</v>
      </c>
      <c r="K276" s="5" t="s">
        <v>3393</v>
      </c>
      <c r="L276" s="5" t="s">
        <v>23</v>
      </c>
      <c r="M276" s="5" t="s">
        <v>3398</v>
      </c>
      <c r="N276" s="5" t="s">
        <v>1144</v>
      </c>
      <c r="O276" s="5" t="s">
        <v>88</v>
      </c>
      <c r="P276" s="5" t="s">
        <v>26</v>
      </c>
      <c r="Q276" s="5" t="s">
        <v>57</v>
      </c>
      <c r="R276" s="5">
        <v>2145</v>
      </c>
      <c r="S276" s="5">
        <v>42.378174851234498</v>
      </c>
      <c r="T276" s="5">
        <v>-71.051957659999999</v>
      </c>
    </row>
    <row r="277" spans="1:20" x14ac:dyDescent="0.3">
      <c r="A277" s="5" t="s">
        <v>1145</v>
      </c>
      <c r="B277" s="6">
        <v>16815</v>
      </c>
      <c r="C277" s="6" t="str">
        <f t="shared" si="79"/>
        <v>Active/Unavailable</v>
      </c>
      <c r="D277" s="5" t="s">
        <v>18</v>
      </c>
      <c r="E277" s="5" t="s">
        <v>1146</v>
      </c>
      <c r="F277" s="5" t="s">
        <v>1147</v>
      </c>
      <c r="G277" s="5" t="str">
        <f t="shared" si="67"/>
        <v>Not Available</v>
      </c>
      <c r="H277" s="5" t="s">
        <v>1148</v>
      </c>
      <c r="I277" s="5" t="s">
        <v>22</v>
      </c>
      <c r="J277" s="5" t="s">
        <v>3387</v>
      </c>
      <c r="K277" s="5" t="s">
        <v>3393</v>
      </c>
      <c r="L277" s="5" t="s">
        <v>23</v>
      </c>
      <c r="M277" s="5" t="s">
        <v>3513</v>
      </c>
      <c r="N277" s="5" t="s">
        <v>1149</v>
      </c>
      <c r="O277" s="5" t="s">
        <v>33</v>
      </c>
      <c r="P277" s="5" t="s">
        <v>26</v>
      </c>
      <c r="Q277" s="5" t="s">
        <v>34</v>
      </c>
      <c r="R277" s="5">
        <v>2135</v>
      </c>
      <c r="S277" s="5">
        <v>42.373445646453803</v>
      </c>
      <c r="T277" s="5">
        <v>-71.044278730000002</v>
      </c>
    </row>
    <row r="278" spans="1:20" x14ac:dyDescent="0.3">
      <c r="A278" s="5" t="s">
        <v>1150</v>
      </c>
      <c r="B278" s="6">
        <v>32372</v>
      </c>
      <c r="C278" s="6" t="str">
        <f t="shared" si="79"/>
        <v>Active/Unavailable</v>
      </c>
      <c r="D278" s="5" t="s">
        <v>18</v>
      </c>
      <c r="E278" s="5" t="s">
        <v>1151</v>
      </c>
      <c r="F278" s="5" t="s">
        <v>1152</v>
      </c>
      <c r="G278" s="5" t="str">
        <f t="shared" si="67"/>
        <v>Not Available</v>
      </c>
      <c r="H278" s="5" t="s">
        <v>1153</v>
      </c>
      <c r="I278" s="5" t="s">
        <v>22</v>
      </c>
      <c r="J278" s="5" t="s">
        <v>3389</v>
      </c>
      <c r="K278" s="5" t="s">
        <v>3394</v>
      </c>
      <c r="L278" s="5" t="s">
        <v>23</v>
      </c>
      <c r="M278" s="5" t="s">
        <v>3555</v>
      </c>
      <c r="N278" s="5" t="s">
        <v>1154</v>
      </c>
      <c r="O278" s="5" t="s">
        <v>33</v>
      </c>
      <c r="P278" s="5" t="s">
        <v>26</v>
      </c>
      <c r="Q278" s="5" t="s">
        <v>34</v>
      </c>
      <c r="R278" s="5">
        <v>2118</v>
      </c>
      <c r="S278" s="5">
        <v>42.323813797457703</v>
      </c>
      <c r="T278" s="5">
        <v>-70.989809870000002</v>
      </c>
    </row>
    <row r="279" spans="1:20" x14ac:dyDescent="0.3">
      <c r="A279" s="5" t="s">
        <v>1155</v>
      </c>
      <c r="B279" s="6">
        <v>23559</v>
      </c>
      <c r="C279" s="6" t="str">
        <f t="shared" si="79"/>
        <v>Active/Unavailable</v>
      </c>
      <c r="D279" s="5" t="s">
        <v>29</v>
      </c>
      <c r="E279" s="5" t="s">
        <v>1156</v>
      </c>
      <c r="F279" s="5" t="s">
        <v>1157</v>
      </c>
      <c r="G279" s="5" t="str">
        <f t="shared" ref="G279:G334" si="81">"Not Available"</f>
        <v>Not Available</v>
      </c>
      <c r="H279" s="5" t="str">
        <f t="shared" ref="H279:H281" si="82">"Not Available"</f>
        <v>Not Available</v>
      </c>
      <c r="I279" s="5" t="s">
        <v>22</v>
      </c>
      <c r="J279" s="5" t="s">
        <v>3389</v>
      </c>
      <c r="K279" s="5" t="s">
        <v>3393</v>
      </c>
      <c r="L279" s="5" t="s">
        <v>22</v>
      </c>
      <c r="M279" s="5" t="s">
        <v>3556</v>
      </c>
      <c r="N279" s="5" t="s">
        <v>1158</v>
      </c>
      <c r="O279" s="5" t="s">
        <v>33</v>
      </c>
      <c r="P279" s="5" t="s">
        <v>26</v>
      </c>
      <c r="Q279" s="5" t="s">
        <v>34</v>
      </c>
      <c r="R279" s="5">
        <v>2130</v>
      </c>
      <c r="S279" s="5">
        <v>42.332819030000003</v>
      </c>
      <c r="T279" s="5">
        <v>-71.083417819999994</v>
      </c>
    </row>
    <row r="280" spans="1:20" x14ac:dyDescent="0.3">
      <c r="A280" s="5" t="s">
        <v>1159</v>
      </c>
      <c r="B280" s="6">
        <v>30621</v>
      </c>
      <c r="C280" s="6" t="str">
        <f t="shared" si="79"/>
        <v>Active/Unavailable</v>
      </c>
      <c r="D280" s="5" t="s">
        <v>29</v>
      </c>
      <c r="E280" s="5" t="s">
        <v>1160</v>
      </c>
      <c r="F280" s="5" t="s">
        <v>1161</v>
      </c>
      <c r="G280" s="5" t="str">
        <f t="shared" si="81"/>
        <v>Not Available</v>
      </c>
      <c r="H280" s="5" t="str">
        <f t="shared" si="82"/>
        <v>Not Available</v>
      </c>
      <c r="I280" s="5" t="s">
        <v>22</v>
      </c>
      <c r="J280" s="5" t="s">
        <v>3388</v>
      </c>
      <c r="K280" s="5" t="s">
        <v>3393</v>
      </c>
      <c r="L280" s="5" t="s">
        <v>22</v>
      </c>
      <c r="M280" s="5" t="s">
        <v>3557</v>
      </c>
      <c r="N280" s="5" t="s">
        <v>1162</v>
      </c>
      <c r="O280" s="5" t="s">
        <v>33</v>
      </c>
      <c r="P280" s="5" t="s">
        <v>26</v>
      </c>
      <c r="Q280" s="5" t="s">
        <v>34</v>
      </c>
      <c r="R280" s="5">
        <v>2128</v>
      </c>
      <c r="S280" s="5">
        <v>42.350497859475801</v>
      </c>
      <c r="T280" s="5">
        <v>-71.113226209999993</v>
      </c>
    </row>
    <row r="281" spans="1:20" x14ac:dyDescent="0.3">
      <c r="A281" s="5" t="s">
        <v>1163</v>
      </c>
      <c r="B281" s="6">
        <v>9821</v>
      </c>
      <c r="C281" s="6" t="str">
        <f t="shared" si="79"/>
        <v>Active/Unavailable</v>
      </c>
      <c r="D281" s="5" t="s">
        <v>29</v>
      </c>
      <c r="E281" s="5" t="s">
        <v>1164</v>
      </c>
      <c r="F281" s="5" t="s">
        <v>1165</v>
      </c>
      <c r="G281" s="5" t="str">
        <f t="shared" si="81"/>
        <v>Not Available</v>
      </c>
      <c r="H281" s="5" t="str">
        <f t="shared" si="82"/>
        <v>Not Available</v>
      </c>
      <c r="I281" s="5" t="s">
        <v>22</v>
      </c>
      <c r="J281" s="5" t="s">
        <v>3387</v>
      </c>
      <c r="K281" s="5" t="s">
        <v>3393</v>
      </c>
      <c r="L281" s="5" t="s">
        <v>22</v>
      </c>
      <c r="M281" s="5" t="s">
        <v>3427</v>
      </c>
      <c r="N281" s="5" t="s">
        <v>1166</v>
      </c>
      <c r="O281" s="5" t="s">
        <v>33</v>
      </c>
      <c r="P281" s="5" t="s">
        <v>26</v>
      </c>
      <c r="Q281" s="5" t="s">
        <v>34</v>
      </c>
      <c r="R281" s="5">
        <v>2163</v>
      </c>
      <c r="S281" s="5">
        <v>42.339573236743497</v>
      </c>
      <c r="T281" s="5">
        <v>-71.023957050000007</v>
      </c>
    </row>
    <row r="282" spans="1:20" x14ac:dyDescent="0.3">
      <c r="A282" s="5" t="s">
        <v>1167</v>
      </c>
      <c r="B282" s="6">
        <v>16938</v>
      </c>
      <c r="C282" s="6" t="str">
        <f t="shared" si="79"/>
        <v>Active/Unavailable</v>
      </c>
      <c r="D282" s="5" t="s">
        <v>18</v>
      </c>
      <c r="E282" s="5" t="s">
        <v>1168</v>
      </c>
      <c r="F282" s="5" t="s">
        <v>175</v>
      </c>
      <c r="G282" s="5" t="str">
        <f t="shared" si="81"/>
        <v>Not Available</v>
      </c>
      <c r="H282" s="5" t="s">
        <v>250</v>
      </c>
      <c r="I282" s="5" t="s">
        <v>22</v>
      </c>
      <c r="J282" s="5" t="s">
        <v>3387</v>
      </c>
      <c r="K282" s="5" t="s">
        <v>3393</v>
      </c>
      <c r="L282" s="5" t="s">
        <v>23</v>
      </c>
      <c r="M282" s="5" t="s">
        <v>3481</v>
      </c>
      <c r="N282" s="5" t="s">
        <v>1169</v>
      </c>
      <c r="O282" s="5" t="s">
        <v>33</v>
      </c>
      <c r="P282" s="5" t="s">
        <v>26</v>
      </c>
      <c r="Q282" s="5" t="s">
        <v>34</v>
      </c>
      <c r="R282" s="5" t="str">
        <f t="shared" ref="R282:R283" si="83">"0000"</f>
        <v>0000</v>
      </c>
      <c r="S282" s="5">
        <v>42.356818684375902</v>
      </c>
      <c r="T282" s="5">
        <v>-71.114663849999999</v>
      </c>
    </row>
    <row r="283" spans="1:20" x14ac:dyDescent="0.3">
      <c r="A283" s="5" t="s">
        <v>1170</v>
      </c>
      <c r="B283" s="6">
        <v>11989</v>
      </c>
      <c r="C283" s="6" t="str">
        <f t="shared" si="79"/>
        <v>Active/Unavailable</v>
      </c>
      <c r="D283" s="5" t="s">
        <v>29</v>
      </c>
      <c r="E283" s="5" t="s">
        <v>1171</v>
      </c>
      <c r="F283" s="5" t="s">
        <v>1172</v>
      </c>
      <c r="G283" s="5" t="str">
        <f t="shared" si="81"/>
        <v>Not Available</v>
      </c>
      <c r="H283" s="5" t="str">
        <f t="shared" ref="H283:H285" si="84">"Not Available"</f>
        <v>Not Available</v>
      </c>
      <c r="I283" s="5" t="s">
        <v>65</v>
      </c>
      <c r="J283" s="5" t="s">
        <v>3388</v>
      </c>
      <c r="K283" s="5" t="s">
        <v>3394</v>
      </c>
      <c r="L283" s="5" t="s">
        <v>22</v>
      </c>
      <c r="M283" s="5" t="s">
        <v>3558</v>
      </c>
      <c r="N283" s="5" t="s">
        <v>1173</v>
      </c>
      <c r="O283" s="5" t="s">
        <v>172</v>
      </c>
      <c r="P283" s="5" t="s">
        <v>26</v>
      </c>
      <c r="Q283" s="5" t="s">
        <v>34</v>
      </c>
      <c r="R283" s="5" t="str">
        <f t="shared" si="83"/>
        <v>0000</v>
      </c>
      <c r="S283" s="5">
        <v>42.402057280394203</v>
      </c>
      <c r="T283" s="5">
        <v>-70.999177880000005</v>
      </c>
    </row>
    <row r="284" spans="1:20" x14ac:dyDescent="0.3">
      <c r="A284" s="5" t="s">
        <v>1174</v>
      </c>
      <c r="B284" s="6">
        <v>27649</v>
      </c>
      <c r="C284" s="6" t="str">
        <f t="shared" si="79"/>
        <v>Active/Unavailable</v>
      </c>
      <c r="D284" s="5" t="s">
        <v>29</v>
      </c>
      <c r="E284" s="5" t="s">
        <v>951</v>
      </c>
      <c r="F284" s="5" t="s">
        <v>77</v>
      </c>
      <c r="G284" s="5" t="str">
        <f t="shared" si="81"/>
        <v>Not Available</v>
      </c>
      <c r="H284" s="5" t="str">
        <f t="shared" si="84"/>
        <v>Not Available</v>
      </c>
      <c r="I284" s="5" t="s">
        <v>22</v>
      </c>
      <c r="J284" s="5" t="s">
        <v>3388</v>
      </c>
      <c r="K284" s="5" t="s">
        <v>3393</v>
      </c>
      <c r="L284" s="5" t="s">
        <v>22</v>
      </c>
      <c r="M284" s="5" t="s">
        <v>3453</v>
      </c>
      <c r="N284" s="5" t="s">
        <v>1175</v>
      </c>
      <c r="O284" s="5" t="s">
        <v>354</v>
      </c>
      <c r="P284" s="5" t="s">
        <v>26</v>
      </c>
      <c r="Q284" s="5" t="s">
        <v>57</v>
      </c>
      <c r="R284" s="5">
        <v>2460</v>
      </c>
      <c r="S284" s="5">
        <v>42.330686601017803</v>
      </c>
      <c r="T284" s="5">
        <v>-71.110368930000007</v>
      </c>
    </row>
    <row r="285" spans="1:20" x14ac:dyDescent="0.3">
      <c r="A285" s="5" t="s">
        <v>1176</v>
      </c>
      <c r="B285" s="6">
        <v>24205</v>
      </c>
      <c r="C285" s="6" t="str">
        <f t="shared" si="79"/>
        <v>Active/Unavailable</v>
      </c>
      <c r="D285" s="5" t="s">
        <v>29</v>
      </c>
      <c r="E285" s="5" t="s">
        <v>1177</v>
      </c>
      <c r="F285" s="5" t="s">
        <v>476</v>
      </c>
      <c r="G285" s="5" t="str">
        <f t="shared" si="81"/>
        <v>Not Available</v>
      </c>
      <c r="H285" s="5" t="str">
        <f t="shared" si="84"/>
        <v>Not Available</v>
      </c>
      <c r="I285" s="5" t="s">
        <v>22</v>
      </c>
      <c r="J285" s="5" t="s">
        <v>3392</v>
      </c>
      <c r="K285" s="5" t="s">
        <v>3393</v>
      </c>
      <c r="L285" s="5" t="s">
        <v>22</v>
      </c>
      <c r="M285" s="5" t="s">
        <v>3559</v>
      </c>
      <c r="N285" s="5" t="s">
        <v>1178</v>
      </c>
      <c r="O285" s="5" t="s">
        <v>25</v>
      </c>
      <c r="P285" s="5" t="s">
        <v>26</v>
      </c>
      <c r="Q285" s="5" t="s">
        <v>27</v>
      </c>
      <c r="R285" s="5">
        <v>2171</v>
      </c>
      <c r="S285" s="5">
        <v>42.290694416678001</v>
      </c>
      <c r="T285" s="5">
        <v>-71.011474239999998</v>
      </c>
    </row>
    <row r="286" spans="1:20" x14ac:dyDescent="0.3">
      <c r="A286" s="5" t="s">
        <v>1179</v>
      </c>
      <c r="B286" s="6">
        <v>26069</v>
      </c>
      <c r="C286" s="6" t="str">
        <f t="shared" si="79"/>
        <v>Active/Unavailable</v>
      </c>
      <c r="D286" s="5" t="s">
        <v>18</v>
      </c>
      <c r="E286" s="5" t="s">
        <v>1180</v>
      </c>
      <c r="F286" s="5" t="s">
        <v>1181</v>
      </c>
      <c r="G286" s="5" t="str">
        <f t="shared" si="81"/>
        <v>Not Available</v>
      </c>
      <c r="H286" s="5" t="s">
        <v>1182</v>
      </c>
      <c r="I286" s="5" t="s">
        <v>22</v>
      </c>
      <c r="J286" s="5" t="s">
        <v>3387</v>
      </c>
      <c r="K286" s="5" t="s">
        <v>3394</v>
      </c>
      <c r="L286" s="5" t="s">
        <v>23</v>
      </c>
      <c r="M286" s="5" t="s">
        <v>3560</v>
      </c>
      <c r="N286" s="5" t="s">
        <v>1183</v>
      </c>
      <c r="O286" s="5" t="s">
        <v>33</v>
      </c>
      <c r="P286" s="5" t="s">
        <v>26</v>
      </c>
      <c r="Q286" s="5" t="s">
        <v>34</v>
      </c>
      <c r="R286" s="5">
        <v>2124</v>
      </c>
      <c r="S286" s="5">
        <v>42.318722729999998</v>
      </c>
      <c r="T286" s="5">
        <v>-71.04759095</v>
      </c>
    </row>
    <row r="287" spans="1:20" x14ac:dyDescent="0.3">
      <c r="A287" s="5" t="s">
        <v>1184</v>
      </c>
      <c r="B287" s="6">
        <v>28839</v>
      </c>
      <c r="C287" s="6" t="str">
        <f t="shared" si="79"/>
        <v>Active/Unavailable</v>
      </c>
      <c r="D287" s="5" t="s">
        <v>18</v>
      </c>
      <c r="E287" s="5" t="s">
        <v>1185</v>
      </c>
      <c r="F287" s="5" t="s">
        <v>1186</v>
      </c>
      <c r="G287" s="5" t="str">
        <f t="shared" si="81"/>
        <v>Not Available</v>
      </c>
      <c r="H287" s="5" t="s">
        <v>1187</v>
      </c>
      <c r="I287" s="5" t="s">
        <v>22</v>
      </c>
      <c r="J287" s="5" t="s">
        <v>3388</v>
      </c>
      <c r="K287" s="5" t="s">
        <v>3393</v>
      </c>
      <c r="L287" s="5" t="s">
        <v>23</v>
      </c>
      <c r="M287" s="5" t="s">
        <v>3561</v>
      </c>
      <c r="N287" s="5" t="s">
        <v>1188</v>
      </c>
      <c r="O287" s="5" t="s">
        <v>33</v>
      </c>
      <c r="P287" s="5" t="s">
        <v>26</v>
      </c>
      <c r="Q287" s="5" t="s">
        <v>34</v>
      </c>
      <c r="R287" s="5">
        <v>2215</v>
      </c>
      <c r="S287" s="5">
        <v>42.3066058</v>
      </c>
      <c r="T287" s="5">
        <v>-71.054653529999996</v>
      </c>
    </row>
    <row r="288" spans="1:20" x14ac:dyDescent="0.3">
      <c r="A288" s="5" t="s">
        <v>1189</v>
      </c>
      <c r="B288" s="6">
        <v>21605</v>
      </c>
      <c r="C288" s="6" t="str">
        <f t="shared" si="79"/>
        <v>Active/Unavailable</v>
      </c>
      <c r="D288" s="5" t="s">
        <v>18</v>
      </c>
      <c r="E288" s="5" t="s">
        <v>1190</v>
      </c>
      <c r="F288" s="5" t="s">
        <v>21</v>
      </c>
      <c r="G288" s="5" t="str">
        <f t="shared" si="81"/>
        <v>Not Available</v>
      </c>
      <c r="H288" s="5" t="s">
        <v>1191</v>
      </c>
      <c r="I288" s="5" t="s">
        <v>22</v>
      </c>
      <c r="J288" s="5" t="s">
        <v>3389</v>
      </c>
      <c r="K288" s="5" t="s">
        <v>3394</v>
      </c>
      <c r="L288" s="5" t="s">
        <v>23</v>
      </c>
      <c r="M288" s="5" t="s">
        <v>3400</v>
      </c>
      <c r="N288" s="5" t="s">
        <v>1192</v>
      </c>
      <c r="O288" s="5" t="s">
        <v>33</v>
      </c>
      <c r="P288" s="5" t="s">
        <v>26</v>
      </c>
      <c r="Q288" s="5" t="s">
        <v>34</v>
      </c>
      <c r="R288" s="5">
        <v>2125</v>
      </c>
      <c r="S288" s="5">
        <v>42.330939542439197</v>
      </c>
      <c r="T288" s="5">
        <v>-71.041840089999994</v>
      </c>
    </row>
    <row r="289" spans="1:20" x14ac:dyDescent="0.3">
      <c r="A289" s="5" t="s">
        <v>1193</v>
      </c>
      <c r="B289" s="6">
        <v>22148</v>
      </c>
      <c r="C289" s="6" t="str">
        <f t="shared" si="79"/>
        <v>Active/Unavailable</v>
      </c>
      <c r="D289" s="5" t="s">
        <v>18</v>
      </c>
      <c r="E289" s="5" t="s">
        <v>1194</v>
      </c>
      <c r="F289" s="5" t="s">
        <v>1195</v>
      </c>
      <c r="G289" s="5" t="str">
        <f t="shared" si="81"/>
        <v>Not Available</v>
      </c>
      <c r="H289" s="5" t="s">
        <v>1196</v>
      </c>
      <c r="I289" s="5" t="s">
        <v>22</v>
      </c>
      <c r="J289" s="5" t="s">
        <v>3389</v>
      </c>
      <c r="K289" s="5" t="s">
        <v>3394</v>
      </c>
      <c r="L289" s="5" t="s">
        <v>23</v>
      </c>
      <c r="M289" s="5" t="s">
        <v>3462</v>
      </c>
      <c r="N289" s="5" t="s">
        <v>1197</v>
      </c>
      <c r="O289" s="5" t="s">
        <v>33</v>
      </c>
      <c r="P289" s="5" t="s">
        <v>26</v>
      </c>
      <c r="Q289" s="5" t="s">
        <v>34</v>
      </c>
      <c r="R289" s="5">
        <v>2199</v>
      </c>
      <c r="S289" s="5">
        <v>42.385193047661801</v>
      </c>
      <c r="T289" s="5">
        <v>-71.083969030000006</v>
      </c>
    </row>
    <row r="290" spans="1:20" x14ac:dyDescent="0.3">
      <c r="A290" s="5" t="s">
        <v>1198</v>
      </c>
      <c r="B290" s="6">
        <v>12835</v>
      </c>
      <c r="C290" s="6" t="str">
        <f t="shared" si="79"/>
        <v>Active/Unavailable</v>
      </c>
      <c r="D290" s="5" t="s">
        <v>29</v>
      </c>
      <c r="E290" s="5" t="s">
        <v>1199</v>
      </c>
      <c r="F290" s="5" t="s">
        <v>1200</v>
      </c>
      <c r="G290" s="5" t="str">
        <f t="shared" si="81"/>
        <v>Not Available</v>
      </c>
      <c r="H290" s="5" t="str">
        <f t="shared" ref="H290:H291" si="85">"Not Available"</f>
        <v>Not Available</v>
      </c>
      <c r="I290" s="5" t="s">
        <v>22</v>
      </c>
      <c r="J290" s="5" t="s">
        <v>3390</v>
      </c>
      <c r="K290" s="5" t="s">
        <v>3393</v>
      </c>
      <c r="L290" s="5" t="s">
        <v>22</v>
      </c>
      <c r="M290" s="5" t="s">
        <v>3454</v>
      </c>
      <c r="N290" s="5" t="s">
        <v>1201</v>
      </c>
      <c r="O290" s="5" t="s">
        <v>172</v>
      </c>
      <c r="P290" s="5" t="s">
        <v>26</v>
      </c>
      <c r="Q290" s="5" t="s">
        <v>34</v>
      </c>
      <c r="R290" s="5">
        <v>2150</v>
      </c>
      <c r="S290" s="5">
        <v>42.361242228331598</v>
      </c>
      <c r="T290" s="5">
        <v>-71.059935929999995</v>
      </c>
    </row>
    <row r="291" spans="1:20" x14ac:dyDescent="0.3">
      <c r="A291" s="5" t="s">
        <v>1202</v>
      </c>
      <c r="B291" s="6">
        <v>27466</v>
      </c>
      <c r="C291" s="6" t="str">
        <f t="shared" si="79"/>
        <v>Active/Unavailable</v>
      </c>
      <c r="D291" s="5" t="s">
        <v>29</v>
      </c>
      <c r="E291" s="5" t="s">
        <v>1203</v>
      </c>
      <c r="F291" s="5" t="s">
        <v>3365</v>
      </c>
      <c r="G291" s="5" t="str">
        <f t="shared" si="81"/>
        <v>Not Available</v>
      </c>
      <c r="H291" s="5" t="str">
        <f t="shared" si="85"/>
        <v>Not Available</v>
      </c>
      <c r="I291" s="5" t="s">
        <v>22</v>
      </c>
      <c r="J291" s="5" t="s">
        <v>3389</v>
      </c>
      <c r="K291" s="5" t="s">
        <v>3393</v>
      </c>
      <c r="L291" s="5" t="s">
        <v>22</v>
      </c>
      <c r="M291" s="5" t="s">
        <v>3562</v>
      </c>
      <c r="N291" s="5" t="s">
        <v>1204</v>
      </c>
      <c r="O291" s="5" t="s">
        <v>33</v>
      </c>
      <c r="P291" s="5" t="s">
        <v>26</v>
      </c>
      <c r="Q291" s="5" t="s">
        <v>34</v>
      </c>
      <c r="R291" s="5">
        <v>2203</v>
      </c>
      <c r="S291" s="5">
        <v>42.3087713667882</v>
      </c>
      <c r="T291" s="5">
        <v>-71.044927290000004</v>
      </c>
    </row>
    <row r="292" spans="1:20" x14ac:dyDescent="0.3">
      <c r="A292" s="5" t="s">
        <v>1205</v>
      </c>
      <c r="B292" s="6">
        <v>9972</v>
      </c>
      <c r="C292" s="6" t="str">
        <f t="shared" si="79"/>
        <v>Active/Unavailable</v>
      </c>
      <c r="D292" s="5" t="s">
        <v>18</v>
      </c>
      <c r="E292" s="5" t="s">
        <v>1206</v>
      </c>
      <c r="F292" s="5" t="s">
        <v>1207</v>
      </c>
      <c r="G292" s="5" t="str">
        <f t="shared" si="81"/>
        <v>Not Available</v>
      </c>
      <c r="H292" s="5" t="s">
        <v>962</v>
      </c>
      <c r="I292" s="5" t="s">
        <v>22</v>
      </c>
      <c r="J292" s="5" t="s">
        <v>3387</v>
      </c>
      <c r="K292" s="5" t="s">
        <v>3393</v>
      </c>
      <c r="L292" s="5" t="s">
        <v>23</v>
      </c>
      <c r="M292" s="5" t="s">
        <v>3563</v>
      </c>
      <c r="N292" s="5" t="s">
        <v>1208</v>
      </c>
      <c r="O292" s="5" t="s">
        <v>56</v>
      </c>
      <c r="P292" s="5" t="s">
        <v>26</v>
      </c>
      <c r="Q292" s="5" t="s">
        <v>57</v>
      </c>
      <c r="R292" s="5">
        <v>2139</v>
      </c>
      <c r="S292" s="5">
        <v>42.316182308078901</v>
      </c>
      <c r="T292" s="5">
        <v>-71.044258690000007</v>
      </c>
    </row>
    <row r="293" spans="1:20" x14ac:dyDescent="0.3">
      <c r="A293" s="5" t="s">
        <v>1209</v>
      </c>
      <c r="B293" s="6">
        <v>12922</v>
      </c>
      <c r="C293" s="6" t="str">
        <f t="shared" si="79"/>
        <v>Active/Unavailable</v>
      </c>
      <c r="D293" s="5" t="s">
        <v>29</v>
      </c>
      <c r="E293" s="5" t="s">
        <v>1210</v>
      </c>
      <c r="F293" s="5" t="s">
        <v>1211</v>
      </c>
      <c r="G293" s="5" t="str">
        <f t="shared" si="81"/>
        <v>Not Available</v>
      </c>
      <c r="H293" s="5" t="str">
        <f t="shared" ref="H293:H300" si="86">"Not Available"</f>
        <v>Not Available</v>
      </c>
      <c r="I293" s="5" t="s">
        <v>65</v>
      </c>
      <c r="J293" s="5" t="s">
        <v>3387</v>
      </c>
      <c r="K293" s="5" t="s">
        <v>3393</v>
      </c>
      <c r="L293" s="5" t="s">
        <v>22</v>
      </c>
      <c r="M293" s="5" t="s">
        <v>3496</v>
      </c>
      <c r="N293" s="5" t="s">
        <v>1212</v>
      </c>
      <c r="O293" s="5" t="s">
        <v>33</v>
      </c>
      <c r="P293" s="5" t="s">
        <v>26</v>
      </c>
      <c r="Q293" s="5" t="s">
        <v>34</v>
      </c>
      <c r="R293" s="5">
        <v>2113</v>
      </c>
      <c r="S293" s="5">
        <v>42.359352121833602</v>
      </c>
      <c r="T293" s="5">
        <v>-71.022088949999997</v>
      </c>
    </row>
    <row r="294" spans="1:20" x14ac:dyDescent="0.3">
      <c r="A294" s="5" t="s">
        <v>1213</v>
      </c>
      <c r="B294" s="6">
        <v>27225</v>
      </c>
      <c r="C294" s="6" t="str">
        <f t="shared" si="79"/>
        <v>Active/Unavailable</v>
      </c>
      <c r="D294" s="5" t="s">
        <v>29</v>
      </c>
      <c r="E294" s="5" t="s">
        <v>1214</v>
      </c>
      <c r="F294" s="5" t="s">
        <v>784</v>
      </c>
      <c r="G294" s="5" t="str">
        <f t="shared" si="81"/>
        <v>Not Available</v>
      </c>
      <c r="H294" s="5" t="str">
        <f t="shared" si="86"/>
        <v>Not Available</v>
      </c>
      <c r="I294" s="5" t="s">
        <v>22</v>
      </c>
      <c r="J294" s="5" t="s">
        <v>3387</v>
      </c>
      <c r="K294" s="5" t="s">
        <v>3393</v>
      </c>
      <c r="L294" s="5" t="s">
        <v>22</v>
      </c>
      <c r="M294" s="5" t="s">
        <v>3564</v>
      </c>
      <c r="N294" s="5" t="s">
        <v>1215</v>
      </c>
      <c r="O294" s="5" t="s">
        <v>33</v>
      </c>
      <c r="P294" s="5" t="s">
        <v>26</v>
      </c>
      <c r="Q294" s="5" t="s">
        <v>34</v>
      </c>
      <c r="R294" s="5">
        <v>2108</v>
      </c>
      <c r="S294" s="5">
        <v>42.344640922343302</v>
      </c>
      <c r="T294" s="5">
        <v>-71.077360089999999</v>
      </c>
    </row>
    <row r="295" spans="1:20" x14ac:dyDescent="0.3">
      <c r="A295" s="5" t="s">
        <v>1216</v>
      </c>
      <c r="B295" s="6">
        <v>18751</v>
      </c>
      <c r="C295" s="6" t="str">
        <f t="shared" si="79"/>
        <v>Active/Unavailable</v>
      </c>
      <c r="D295" s="5" t="s">
        <v>29</v>
      </c>
      <c r="E295" s="5" t="s">
        <v>3353</v>
      </c>
      <c r="F295" s="5" t="s">
        <v>1217</v>
      </c>
      <c r="G295" s="5" t="str">
        <f t="shared" si="81"/>
        <v>Not Available</v>
      </c>
      <c r="H295" s="5" t="str">
        <f t="shared" si="86"/>
        <v>Not Available</v>
      </c>
      <c r="I295" s="5" t="s">
        <v>22</v>
      </c>
      <c r="J295" s="5" t="s">
        <v>3388</v>
      </c>
      <c r="K295" s="5" t="s">
        <v>3394</v>
      </c>
      <c r="L295" s="5" t="s">
        <v>22</v>
      </c>
      <c r="M295" s="5" t="s">
        <v>3537</v>
      </c>
      <c r="N295" s="5" t="s">
        <v>1218</v>
      </c>
      <c r="O295" s="5" t="s">
        <v>587</v>
      </c>
      <c r="P295" s="5" t="s">
        <v>26</v>
      </c>
      <c r="Q295" s="5" t="s">
        <v>27</v>
      </c>
      <c r="R295" s="5">
        <v>2184</v>
      </c>
      <c r="S295" s="5">
        <v>42.243200173159202</v>
      </c>
      <c r="T295" s="5">
        <v>-70.958237209999993</v>
      </c>
    </row>
    <row r="296" spans="1:20" x14ac:dyDescent="0.3">
      <c r="A296" s="5" t="s">
        <v>1219</v>
      </c>
      <c r="B296" s="6">
        <v>24420</v>
      </c>
      <c r="C296" s="6" t="str">
        <f t="shared" si="79"/>
        <v>Active/Unavailable</v>
      </c>
      <c r="D296" s="5" t="s">
        <v>29</v>
      </c>
      <c r="E296" s="5" t="s">
        <v>1220</v>
      </c>
      <c r="F296" s="5" t="s">
        <v>1221</v>
      </c>
      <c r="G296" s="5" t="str">
        <f t="shared" si="81"/>
        <v>Not Available</v>
      </c>
      <c r="H296" s="5" t="str">
        <f t="shared" si="86"/>
        <v>Not Available</v>
      </c>
      <c r="I296" s="5" t="s">
        <v>22</v>
      </c>
      <c r="J296" s="5" t="s">
        <v>3388</v>
      </c>
      <c r="K296" s="5" t="s">
        <v>3393</v>
      </c>
      <c r="L296" s="5" t="s">
        <v>22</v>
      </c>
      <c r="M296" s="5" t="s">
        <v>3565</v>
      </c>
      <c r="N296" s="5" t="s">
        <v>1222</v>
      </c>
      <c r="O296" s="5" t="s">
        <v>33</v>
      </c>
      <c r="P296" s="5" t="s">
        <v>26</v>
      </c>
      <c r="Q296" s="5" t="s">
        <v>34</v>
      </c>
      <c r="R296" s="5">
        <v>2152</v>
      </c>
      <c r="S296" s="5">
        <v>42.403312705897001</v>
      </c>
      <c r="T296" s="5">
        <v>-70.963006179999994</v>
      </c>
    </row>
    <row r="297" spans="1:20" x14ac:dyDescent="0.3">
      <c r="A297" s="5" t="s">
        <v>1223</v>
      </c>
      <c r="B297" s="6">
        <v>13937</v>
      </c>
      <c r="C297" s="6" t="str">
        <f t="shared" si="79"/>
        <v>Active/Unavailable</v>
      </c>
      <c r="D297" s="5" t="s">
        <v>29</v>
      </c>
      <c r="E297" s="5" t="s">
        <v>1224</v>
      </c>
      <c r="F297" s="5" t="s">
        <v>1181</v>
      </c>
      <c r="G297" s="5" t="str">
        <f t="shared" si="81"/>
        <v>Not Available</v>
      </c>
      <c r="H297" s="5" t="str">
        <f t="shared" si="86"/>
        <v>Not Available</v>
      </c>
      <c r="I297" s="5" t="s">
        <v>22</v>
      </c>
      <c r="J297" s="5" t="s">
        <v>3387</v>
      </c>
      <c r="K297" s="5" t="s">
        <v>3394</v>
      </c>
      <c r="L297" s="5" t="s">
        <v>22</v>
      </c>
      <c r="M297" s="5" t="s">
        <v>3400</v>
      </c>
      <c r="N297" s="5" t="s">
        <v>1225</v>
      </c>
      <c r="O297" s="5" t="s">
        <v>33</v>
      </c>
      <c r="P297" s="5" t="s">
        <v>26</v>
      </c>
      <c r="Q297" s="5" t="s">
        <v>34</v>
      </c>
      <c r="R297" s="5" t="str">
        <f>"0000"</f>
        <v>0000</v>
      </c>
      <c r="S297" s="5">
        <v>42.361049161012701</v>
      </c>
      <c r="T297" s="5">
        <v>-71.021484110000003</v>
      </c>
    </row>
    <row r="298" spans="1:20" x14ac:dyDescent="0.3">
      <c r="A298" s="5" t="s">
        <v>1226</v>
      </c>
      <c r="B298" s="6">
        <v>9172</v>
      </c>
      <c r="C298" s="6">
        <v>41435</v>
      </c>
      <c r="D298" s="5" t="s">
        <v>29</v>
      </c>
      <c r="E298" s="5" t="s">
        <v>1227</v>
      </c>
      <c r="F298" s="5" t="s">
        <v>438</v>
      </c>
      <c r="G298" s="5" t="str">
        <f t="shared" si="81"/>
        <v>Not Available</v>
      </c>
      <c r="H298" s="5" t="str">
        <f t="shared" si="86"/>
        <v>Not Available</v>
      </c>
      <c r="I298" s="5" t="s">
        <v>22</v>
      </c>
      <c r="J298" s="5" t="s">
        <v>3387</v>
      </c>
      <c r="K298" s="5" t="s">
        <v>3394</v>
      </c>
      <c r="L298" s="5" t="s">
        <v>22</v>
      </c>
      <c r="M298" s="5" t="s">
        <v>3478</v>
      </c>
      <c r="N298" s="5" t="s">
        <v>1228</v>
      </c>
      <c r="O298" s="5" t="s">
        <v>33</v>
      </c>
      <c r="P298" s="5" t="s">
        <v>26</v>
      </c>
      <c r="Q298" s="5" t="s">
        <v>34</v>
      </c>
      <c r="R298" s="5">
        <v>2118</v>
      </c>
      <c r="S298" s="5">
        <v>42.326738509624697</v>
      </c>
      <c r="T298" s="5">
        <v>-71.041907320000007</v>
      </c>
    </row>
    <row r="299" spans="1:20" x14ac:dyDescent="0.3">
      <c r="A299" s="5" t="s">
        <v>1229</v>
      </c>
      <c r="B299" s="6">
        <v>17282</v>
      </c>
      <c r="C299" s="6" t="str">
        <f t="shared" ref="C299:C306" si="87">"Active/Unavailable"</f>
        <v>Active/Unavailable</v>
      </c>
      <c r="D299" s="5" t="s">
        <v>100</v>
      </c>
      <c r="E299" s="5" t="s">
        <v>1230</v>
      </c>
      <c r="F299" s="5" t="s">
        <v>282</v>
      </c>
      <c r="G299" s="5" t="str">
        <f t="shared" si="81"/>
        <v>Not Available</v>
      </c>
      <c r="H299" s="5" t="str">
        <f t="shared" si="86"/>
        <v>Not Available</v>
      </c>
      <c r="I299" s="5" t="s">
        <v>65</v>
      </c>
      <c r="J299" s="5" t="s">
        <v>3387</v>
      </c>
      <c r="K299" s="5" t="s">
        <v>3393</v>
      </c>
      <c r="L299" s="5" t="s">
        <v>23</v>
      </c>
      <c r="M299" s="5" t="s">
        <v>3566</v>
      </c>
      <c r="N299" s="5" t="s">
        <v>1231</v>
      </c>
      <c r="O299" s="5" t="s">
        <v>373</v>
      </c>
      <c r="P299" s="5" t="s">
        <v>26</v>
      </c>
      <c r="Q299" s="5" t="s">
        <v>57</v>
      </c>
      <c r="R299" s="5" t="str">
        <f>"0000"</f>
        <v>0000</v>
      </c>
      <c r="S299" s="5">
        <v>42.381717373397997</v>
      </c>
      <c r="T299" s="5">
        <v>-71.089787389999998</v>
      </c>
    </row>
    <row r="300" spans="1:20" x14ac:dyDescent="0.3">
      <c r="A300" s="5" t="s">
        <v>1232</v>
      </c>
      <c r="B300" s="6">
        <v>9172</v>
      </c>
      <c r="C300" s="6" t="str">
        <f t="shared" si="87"/>
        <v>Active/Unavailable</v>
      </c>
      <c r="D300" s="5" t="s">
        <v>29</v>
      </c>
      <c r="E300" s="5" t="s">
        <v>1233</v>
      </c>
      <c r="F300" s="5" t="s">
        <v>78</v>
      </c>
      <c r="G300" s="5" t="str">
        <f t="shared" si="81"/>
        <v>Not Available</v>
      </c>
      <c r="H300" s="5" t="str">
        <f t="shared" si="86"/>
        <v>Not Available</v>
      </c>
      <c r="I300" s="5" t="s">
        <v>22</v>
      </c>
      <c r="J300" s="5" t="s">
        <v>3387</v>
      </c>
      <c r="K300" s="5" t="s">
        <v>3394</v>
      </c>
      <c r="L300" s="5" t="s">
        <v>22</v>
      </c>
      <c r="M300" s="5" t="s">
        <v>3567</v>
      </c>
      <c r="N300" s="5" t="s">
        <v>1234</v>
      </c>
      <c r="O300" s="5" t="s">
        <v>33</v>
      </c>
      <c r="P300" s="5" t="s">
        <v>26</v>
      </c>
      <c r="Q300" s="5" t="s">
        <v>34</v>
      </c>
      <c r="R300" s="5">
        <v>2115</v>
      </c>
      <c r="S300" s="5">
        <v>42.350666252223597</v>
      </c>
      <c r="T300" s="5">
        <v>-71.066876780000001</v>
      </c>
    </row>
    <row r="301" spans="1:20" x14ac:dyDescent="0.3">
      <c r="A301" s="5" t="s">
        <v>1235</v>
      </c>
      <c r="B301" s="6">
        <v>31306</v>
      </c>
      <c r="C301" s="6" t="str">
        <f t="shared" si="87"/>
        <v>Active/Unavailable</v>
      </c>
      <c r="D301" s="5" t="s">
        <v>18</v>
      </c>
      <c r="E301" s="5" t="s">
        <v>1236</v>
      </c>
      <c r="F301" s="5" t="s">
        <v>1237</v>
      </c>
      <c r="G301" s="5" t="str">
        <f t="shared" si="81"/>
        <v>Not Available</v>
      </c>
      <c r="H301" s="5" t="s">
        <v>1238</v>
      </c>
      <c r="I301" s="5" t="s">
        <v>22</v>
      </c>
      <c r="J301" s="5" t="s">
        <v>3387</v>
      </c>
      <c r="K301" s="5" t="s">
        <v>3393</v>
      </c>
      <c r="L301" s="5" t="s">
        <v>23</v>
      </c>
      <c r="M301" s="5" t="s">
        <v>3568</v>
      </c>
      <c r="N301" s="5" t="s">
        <v>1239</v>
      </c>
      <c r="O301" s="5" t="s">
        <v>33</v>
      </c>
      <c r="P301" s="5" t="s">
        <v>26</v>
      </c>
      <c r="Q301" s="5" t="s">
        <v>34</v>
      </c>
      <c r="R301" s="5">
        <v>2131</v>
      </c>
      <c r="S301" s="5">
        <v>42.35808214</v>
      </c>
      <c r="T301" s="5">
        <v>-70.986416899999995</v>
      </c>
    </row>
    <row r="302" spans="1:20" x14ac:dyDescent="0.3">
      <c r="A302" s="5" t="s">
        <v>1240</v>
      </c>
      <c r="B302" s="6">
        <v>27906</v>
      </c>
      <c r="C302" s="6" t="str">
        <f t="shared" si="87"/>
        <v>Active/Unavailable</v>
      </c>
      <c r="D302" s="5" t="s">
        <v>18</v>
      </c>
      <c r="E302" s="5" t="s">
        <v>1241</v>
      </c>
      <c r="F302" s="5" t="s">
        <v>630</v>
      </c>
      <c r="G302" s="5" t="str">
        <f t="shared" si="81"/>
        <v>Not Available</v>
      </c>
      <c r="H302" s="5" t="s">
        <v>1242</v>
      </c>
      <c r="I302" s="5" t="s">
        <v>22</v>
      </c>
      <c r="J302" s="5" t="s">
        <v>3387</v>
      </c>
      <c r="K302" s="5" t="s">
        <v>3393</v>
      </c>
      <c r="L302" s="5" t="s">
        <v>23</v>
      </c>
      <c r="M302" s="5" t="s">
        <v>3569</v>
      </c>
      <c r="N302" s="5" t="s">
        <v>1243</v>
      </c>
      <c r="O302" s="5" t="s">
        <v>574</v>
      </c>
      <c r="P302" s="5" t="s">
        <v>26</v>
      </c>
      <c r="Q302" s="5" t="s">
        <v>27</v>
      </c>
      <c r="R302" s="5" t="str">
        <f>"0000"</f>
        <v>0000</v>
      </c>
      <c r="S302" s="5">
        <v>42.370344291494398</v>
      </c>
      <c r="T302" s="5">
        <v>-71.130730249999999</v>
      </c>
    </row>
    <row r="303" spans="1:20" x14ac:dyDescent="0.3">
      <c r="A303" s="5" t="s">
        <v>1244</v>
      </c>
      <c r="B303" s="6">
        <v>19516</v>
      </c>
      <c r="C303" s="6" t="str">
        <f t="shared" si="87"/>
        <v>Active/Unavailable</v>
      </c>
      <c r="D303" s="5" t="s">
        <v>18</v>
      </c>
      <c r="E303" s="5" t="s">
        <v>249</v>
      </c>
      <c r="F303" s="5" t="s">
        <v>925</v>
      </c>
      <c r="G303" s="5" t="str">
        <f t="shared" si="81"/>
        <v>Not Available</v>
      </c>
      <c r="H303" s="5" t="s">
        <v>1245</v>
      </c>
      <c r="I303" s="5" t="s">
        <v>22</v>
      </c>
      <c r="J303" s="5" t="s">
        <v>3387</v>
      </c>
      <c r="K303" s="5" t="s">
        <v>3393</v>
      </c>
      <c r="L303" s="5" t="s">
        <v>23</v>
      </c>
      <c r="M303" s="5" t="s">
        <v>3517</v>
      </c>
      <c r="N303" s="5" t="s">
        <v>1246</v>
      </c>
      <c r="O303" s="5" t="s">
        <v>88</v>
      </c>
      <c r="P303" s="5" t="s">
        <v>26</v>
      </c>
      <c r="Q303" s="5" t="s">
        <v>57</v>
      </c>
      <c r="R303" s="5">
        <v>2138</v>
      </c>
      <c r="S303" s="5">
        <v>42.354382860749098</v>
      </c>
      <c r="T303" s="5">
        <v>-71.134824309999999</v>
      </c>
    </row>
    <row r="304" spans="1:20" x14ac:dyDescent="0.3">
      <c r="A304" s="5" t="s">
        <v>1247</v>
      </c>
      <c r="B304" s="6">
        <v>25819</v>
      </c>
      <c r="C304" s="6" t="str">
        <f t="shared" si="87"/>
        <v>Active/Unavailable</v>
      </c>
      <c r="D304" s="5" t="s">
        <v>29</v>
      </c>
      <c r="E304" s="5" t="s">
        <v>331</v>
      </c>
      <c r="F304" s="5" t="s">
        <v>3367</v>
      </c>
      <c r="G304" s="5" t="str">
        <f t="shared" si="81"/>
        <v>Not Available</v>
      </c>
      <c r="H304" s="5" t="str">
        <f t="shared" ref="H304:H309" si="88">"Not Available"</f>
        <v>Not Available</v>
      </c>
      <c r="I304" s="5" t="s">
        <v>22</v>
      </c>
      <c r="J304" s="5" t="s">
        <v>3389</v>
      </c>
      <c r="K304" s="5" t="s">
        <v>3394</v>
      </c>
      <c r="L304" s="5" t="s">
        <v>22</v>
      </c>
      <c r="M304" s="5" t="s">
        <v>3473</v>
      </c>
      <c r="N304" s="5" t="s">
        <v>1248</v>
      </c>
      <c r="O304" s="5" t="s">
        <v>33</v>
      </c>
      <c r="P304" s="5" t="s">
        <v>26</v>
      </c>
      <c r="Q304" s="5" t="s">
        <v>34</v>
      </c>
      <c r="R304" s="5">
        <v>2125</v>
      </c>
      <c r="S304" s="5">
        <v>42.353799336024899</v>
      </c>
      <c r="T304" s="5">
        <v>-70.98482242</v>
      </c>
    </row>
    <row r="305" spans="1:20" x14ac:dyDescent="0.3">
      <c r="A305" s="5" t="s">
        <v>1249</v>
      </c>
      <c r="B305" s="6">
        <v>9924</v>
      </c>
      <c r="C305" s="6" t="str">
        <f t="shared" si="87"/>
        <v>Active/Unavailable</v>
      </c>
      <c r="D305" s="5" t="s">
        <v>29</v>
      </c>
      <c r="E305" s="5" t="s">
        <v>1250</v>
      </c>
      <c r="F305" s="5" t="s">
        <v>890</v>
      </c>
      <c r="G305" s="5" t="str">
        <f t="shared" si="81"/>
        <v>Not Available</v>
      </c>
      <c r="H305" s="5" t="str">
        <f t="shared" si="88"/>
        <v>Not Available</v>
      </c>
      <c r="I305" s="5" t="s">
        <v>65</v>
      </c>
      <c r="J305" s="5" t="s">
        <v>3387</v>
      </c>
      <c r="K305" s="5" t="s">
        <v>3393</v>
      </c>
      <c r="L305" s="5" t="s">
        <v>22</v>
      </c>
      <c r="M305" s="5" t="s">
        <v>3400</v>
      </c>
      <c r="N305" s="5" t="s">
        <v>1251</v>
      </c>
      <c r="O305" s="5" t="s">
        <v>33</v>
      </c>
      <c r="P305" s="5" t="s">
        <v>26</v>
      </c>
      <c r="Q305" s="5" t="s">
        <v>34</v>
      </c>
      <c r="R305" s="5">
        <v>2108</v>
      </c>
      <c r="S305" s="5">
        <v>42.359920183040003</v>
      </c>
      <c r="T305" s="5">
        <v>-71.108627220000002</v>
      </c>
    </row>
    <row r="306" spans="1:20" x14ac:dyDescent="0.3">
      <c r="A306" s="5" t="s">
        <v>1252</v>
      </c>
      <c r="B306" s="6">
        <v>8318</v>
      </c>
      <c r="C306" s="6" t="str">
        <f t="shared" si="87"/>
        <v>Active/Unavailable</v>
      </c>
      <c r="D306" s="5" t="s">
        <v>29</v>
      </c>
      <c r="E306" s="5" t="s">
        <v>1253</v>
      </c>
      <c r="F306" s="5" t="s">
        <v>1186</v>
      </c>
      <c r="G306" s="5" t="str">
        <f t="shared" si="81"/>
        <v>Not Available</v>
      </c>
      <c r="H306" s="5" t="str">
        <f t="shared" si="88"/>
        <v>Not Available</v>
      </c>
      <c r="I306" s="5" t="s">
        <v>22</v>
      </c>
      <c r="J306" s="5" t="s">
        <v>3387</v>
      </c>
      <c r="K306" s="5" t="s">
        <v>3393</v>
      </c>
      <c r="L306" s="5" t="s">
        <v>22</v>
      </c>
      <c r="M306" s="5" t="s">
        <v>3400</v>
      </c>
      <c r="N306" s="5" t="s">
        <v>1254</v>
      </c>
      <c r="O306" s="5" t="s">
        <v>373</v>
      </c>
      <c r="P306" s="5" t="s">
        <v>26</v>
      </c>
      <c r="Q306" s="5" t="s">
        <v>57</v>
      </c>
      <c r="R306" s="5">
        <v>2145</v>
      </c>
      <c r="S306" s="5">
        <v>42.420467787515399</v>
      </c>
      <c r="T306" s="5">
        <v>-71.121299350000001</v>
      </c>
    </row>
    <row r="307" spans="1:20" x14ac:dyDescent="0.3">
      <c r="A307" s="5" t="s">
        <v>1255</v>
      </c>
      <c r="B307" s="6">
        <v>30847</v>
      </c>
      <c r="C307" s="6">
        <v>41574</v>
      </c>
      <c r="D307" s="5" t="s">
        <v>29</v>
      </c>
      <c r="E307" s="5" t="s">
        <v>1256</v>
      </c>
      <c r="F307" s="5" t="s">
        <v>1153</v>
      </c>
      <c r="G307" s="5" t="str">
        <f t="shared" si="81"/>
        <v>Not Available</v>
      </c>
      <c r="H307" s="5" t="str">
        <f t="shared" si="88"/>
        <v>Not Available</v>
      </c>
      <c r="I307" s="5" t="s">
        <v>65</v>
      </c>
      <c r="J307" s="5" t="s">
        <v>3387</v>
      </c>
      <c r="K307" s="5" t="s">
        <v>3394</v>
      </c>
      <c r="L307" s="5" t="s">
        <v>22</v>
      </c>
      <c r="M307" s="5" t="s">
        <v>3482</v>
      </c>
      <c r="N307" s="5" t="s">
        <v>1257</v>
      </c>
      <c r="O307" s="5" t="s">
        <v>486</v>
      </c>
      <c r="P307" s="5" t="s">
        <v>26</v>
      </c>
      <c r="Q307" s="5" t="s">
        <v>34</v>
      </c>
      <c r="R307" s="5">
        <v>2128</v>
      </c>
      <c r="S307" s="5">
        <v>42.411984028754702</v>
      </c>
      <c r="T307" s="5">
        <v>-70.964174689999993</v>
      </c>
    </row>
    <row r="308" spans="1:20" x14ac:dyDescent="0.3">
      <c r="A308" s="5" t="s">
        <v>1258</v>
      </c>
      <c r="B308" s="6">
        <v>30847</v>
      </c>
      <c r="C308" s="6" t="str">
        <f t="shared" ref="C308:C310" si="89">"Active/Unavailable"</f>
        <v>Active/Unavailable</v>
      </c>
      <c r="D308" s="5" t="s">
        <v>29</v>
      </c>
      <c r="E308" s="5" t="s">
        <v>1259</v>
      </c>
      <c r="F308" s="5" t="s">
        <v>905</v>
      </c>
      <c r="G308" s="5" t="str">
        <f t="shared" si="81"/>
        <v>Not Available</v>
      </c>
      <c r="H308" s="5" t="str">
        <f t="shared" si="88"/>
        <v>Not Available</v>
      </c>
      <c r="I308" s="5" t="s">
        <v>22</v>
      </c>
      <c r="J308" s="5" t="s">
        <v>3387</v>
      </c>
      <c r="K308" s="5" t="s">
        <v>3394</v>
      </c>
      <c r="L308" s="5" t="s">
        <v>22</v>
      </c>
      <c r="M308" s="5" t="s">
        <v>3414</v>
      </c>
      <c r="N308" s="5" t="s">
        <v>1260</v>
      </c>
      <c r="O308" s="5" t="s">
        <v>486</v>
      </c>
      <c r="P308" s="5" t="s">
        <v>26</v>
      </c>
      <c r="Q308" s="5" t="s">
        <v>34</v>
      </c>
      <c r="R308" s="5">
        <v>2128</v>
      </c>
      <c r="S308" s="5">
        <v>42.3739025137263</v>
      </c>
      <c r="T308" s="5">
        <v>-70.942799190000002</v>
      </c>
    </row>
    <row r="309" spans="1:20" x14ac:dyDescent="0.3">
      <c r="A309" s="5" t="s">
        <v>1261</v>
      </c>
      <c r="B309" s="6">
        <v>9897</v>
      </c>
      <c r="C309" s="6" t="str">
        <f t="shared" si="89"/>
        <v>Active/Unavailable</v>
      </c>
      <c r="D309" s="5" t="s">
        <v>100</v>
      </c>
      <c r="E309" s="5" t="s">
        <v>1262</v>
      </c>
      <c r="F309" s="5" t="s">
        <v>557</v>
      </c>
      <c r="G309" s="5" t="str">
        <f t="shared" si="81"/>
        <v>Not Available</v>
      </c>
      <c r="H309" s="5" t="str">
        <f t="shared" si="88"/>
        <v>Not Available</v>
      </c>
      <c r="I309" s="5" t="s">
        <v>65</v>
      </c>
      <c r="J309" s="5" t="s">
        <v>3387</v>
      </c>
      <c r="K309" s="5" t="s">
        <v>3393</v>
      </c>
      <c r="L309" s="5" t="s">
        <v>23</v>
      </c>
      <c r="M309" s="5" t="s">
        <v>3570</v>
      </c>
      <c r="N309" s="5" t="s">
        <v>1263</v>
      </c>
      <c r="O309" s="5" t="s">
        <v>209</v>
      </c>
      <c r="P309" s="5" t="s">
        <v>26</v>
      </c>
      <c r="Q309" s="5" t="s">
        <v>27</v>
      </c>
      <c r="R309" s="5">
        <v>2190</v>
      </c>
      <c r="S309" s="5">
        <v>42.222030466148603</v>
      </c>
      <c r="T309" s="5">
        <v>-70.949421720000004</v>
      </c>
    </row>
    <row r="310" spans="1:20" x14ac:dyDescent="0.3">
      <c r="A310" s="5" t="s">
        <v>1264</v>
      </c>
      <c r="B310" s="6">
        <v>9645</v>
      </c>
      <c r="C310" s="6" t="str">
        <f t="shared" si="89"/>
        <v>Active/Unavailable</v>
      </c>
      <c r="D310" s="5" t="s">
        <v>18</v>
      </c>
      <c r="E310" s="5" t="s">
        <v>1265</v>
      </c>
      <c r="F310" s="5" t="s">
        <v>785</v>
      </c>
      <c r="G310" s="5" t="str">
        <f t="shared" si="81"/>
        <v>Not Available</v>
      </c>
      <c r="H310" s="5" t="s">
        <v>86</v>
      </c>
      <c r="I310" s="5" t="s">
        <v>22</v>
      </c>
      <c r="J310" s="5" t="s">
        <v>3389</v>
      </c>
      <c r="K310" s="5" t="s">
        <v>3393</v>
      </c>
      <c r="L310" s="5" t="s">
        <v>23</v>
      </c>
      <c r="M310" s="5" t="s">
        <v>3571</v>
      </c>
      <c r="N310" s="5" t="s">
        <v>1266</v>
      </c>
      <c r="O310" s="5" t="s">
        <v>33</v>
      </c>
      <c r="P310" s="5" t="s">
        <v>26</v>
      </c>
      <c r="Q310" s="5" t="s">
        <v>34</v>
      </c>
      <c r="R310" s="5">
        <v>2114</v>
      </c>
      <c r="S310" s="5">
        <v>42.360854428212498</v>
      </c>
      <c r="T310" s="5">
        <v>-71.015826669999996</v>
      </c>
    </row>
    <row r="311" spans="1:20" x14ac:dyDescent="0.3">
      <c r="A311" s="5" t="s">
        <v>1267</v>
      </c>
      <c r="B311" s="6">
        <v>12197</v>
      </c>
      <c r="C311" s="6">
        <v>41994</v>
      </c>
      <c r="D311" s="5" t="s">
        <v>29</v>
      </c>
      <c r="E311" s="5" t="s">
        <v>1268</v>
      </c>
      <c r="F311" s="5" t="s">
        <v>1269</v>
      </c>
      <c r="G311" s="5" t="str">
        <f t="shared" si="81"/>
        <v>Not Available</v>
      </c>
      <c r="H311" s="5" t="str">
        <f t="shared" ref="H311:H313" si="90">"Not Available"</f>
        <v>Not Available</v>
      </c>
      <c r="I311" s="5" t="s">
        <v>22</v>
      </c>
      <c r="J311" s="5" t="s">
        <v>3387</v>
      </c>
      <c r="K311" s="5" t="s">
        <v>3393</v>
      </c>
      <c r="L311" s="5" t="s">
        <v>22</v>
      </c>
      <c r="M311" s="5" t="s">
        <v>3572</v>
      </c>
      <c r="N311" s="5" t="s">
        <v>1270</v>
      </c>
      <c r="O311" s="5" t="s">
        <v>145</v>
      </c>
      <c r="P311" s="5" t="s">
        <v>26</v>
      </c>
      <c r="Q311" s="5" t="s">
        <v>57</v>
      </c>
      <c r="R311" s="5" t="str">
        <f t="shared" ref="R311:R312" si="91">"0000"</f>
        <v>0000</v>
      </c>
      <c r="S311" s="5">
        <v>42.360580536271897</v>
      </c>
      <c r="T311" s="5">
        <v>-71.059871220000005</v>
      </c>
    </row>
    <row r="312" spans="1:20" x14ac:dyDescent="0.3">
      <c r="A312" s="5" t="s">
        <v>1271</v>
      </c>
      <c r="B312" s="6">
        <v>12197</v>
      </c>
      <c r="C312" s="6">
        <v>43542</v>
      </c>
      <c r="D312" s="5" t="s">
        <v>29</v>
      </c>
      <c r="E312" s="5" t="s">
        <v>1272</v>
      </c>
      <c r="F312" s="5" t="s">
        <v>948</v>
      </c>
      <c r="G312" s="5" t="str">
        <f t="shared" si="81"/>
        <v>Not Available</v>
      </c>
      <c r="H312" s="5" t="str">
        <f t="shared" si="90"/>
        <v>Not Available</v>
      </c>
      <c r="I312" s="5" t="s">
        <v>65</v>
      </c>
      <c r="J312" s="5" t="s">
        <v>3387</v>
      </c>
      <c r="K312" s="5" t="s">
        <v>3393</v>
      </c>
      <c r="L312" s="5" t="s">
        <v>22</v>
      </c>
      <c r="M312" s="5" t="s">
        <v>3509</v>
      </c>
      <c r="N312" s="5" t="s">
        <v>1273</v>
      </c>
      <c r="O312" s="5" t="s">
        <v>145</v>
      </c>
      <c r="P312" s="5" t="s">
        <v>26</v>
      </c>
      <c r="Q312" s="5" t="s">
        <v>57</v>
      </c>
      <c r="R312" s="5" t="str">
        <f t="shared" si="91"/>
        <v>0000</v>
      </c>
      <c r="S312" s="5">
        <v>42.3773848369569</v>
      </c>
      <c r="T312" s="5">
        <v>-71.061115709999996</v>
      </c>
    </row>
    <row r="313" spans="1:20" x14ac:dyDescent="0.3">
      <c r="A313" s="5" t="s">
        <v>1274</v>
      </c>
      <c r="B313" s="6">
        <v>10283</v>
      </c>
      <c r="C313" s="6" t="str">
        <f t="shared" ref="C313:C316" si="92">"Active/Unavailable"</f>
        <v>Active/Unavailable</v>
      </c>
      <c r="D313" s="5" t="s">
        <v>100</v>
      </c>
      <c r="E313" s="5" t="s">
        <v>1275</v>
      </c>
      <c r="F313" s="5" t="s">
        <v>1117</v>
      </c>
      <c r="G313" s="5" t="str">
        <f t="shared" si="81"/>
        <v>Not Available</v>
      </c>
      <c r="H313" s="5" t="str">
        <f t="shared" si="90"/>
        <v>Not Available</v>
      </c>
      <c r="I313" s="5" t="s">
        <v>65</v>
      </c>
      <c r="J313" s="5" t="s">
        <v>3387</v>
      </c>
      <c r="K313" s="5" t="s">
        <v>3393</v>
      </c>
      <c r="L313" s="5" t="s">
        <v>23</v>
      </c>
      <c r="M313" s="5" t="s">
        <v>3400</v>
      </c>
      <c r="N313" s="5" t="s">
        <v>1276</v>
      </c>
      <c r="O313" s="5" t="s">
        <v>25</v>
      </c>
      <c r="P313" s="5" t="s">
        <v>26</v>
      </c>
      <c r="Q313" s="5" t="s">
        <v>27</v>
      </c>
      <c r="R313" s="5">
        <v>2170</v>
      </c>
      <c r="S313" s="5">
        <v>42.242997450356803</v>
      </c>
      <c r="T313" s="5">
        <v>-70.974050570000003</v>
      </c>
    </row>
    <row r="314" spans="1:20" x14ac:dyDescent="0.3">
      <c r="A314" s="5" t="s">
        <v>1277</v>
      </c>
      <c r="B314" s="6">
        <v>20336</v>
      </c>
      <c r="C314" s="6" t="str">
        <f t="shared" si="92"/>
        <v>Active/Unavailable</v>
      </c>
      <c r="D314" s="5" t="s">
        <v>18</v>
      </c>
      <c r="E314" s="5" t="s">
        <v>1278</v>
      </c>
      <c r="F314" s="5" t="s">
        <v>572</v>
      </c>
      <c r="G314" s="5" t="str">
        <f t="shared" si="81"/>
        <v>Not Available</v>
      </c>
      <c r="H314" s="5" t="s">
        <v>1279</v>
      </c>
      <c r="I314" s="5" t="s">
        <v>22</v>
      </c>
      <c r="J314" s="5" t="s">
        <v>3387</v>
      </c>
      <c r="K314" s="5" t="s">
        <v>3393</v>
      </c>
      <c r="L314" s="5" t="s">
        <v>23</v>
      </c>
      <c r="M314" s="5" t="s">
        <v>3400</v>
      </c>
      <c r="N314" s="5" t="s">
        <v>1280</v>
      </c>
      <c r="O314" s="5" t="s">
        <v>172</v>
      </c>
      <c r="P314" s="5" t="s">
        <v>26</v>
      </c>
      <c r="Q314" s="5" t="s">
        <v>34</v>
      </c>
      <c r="R314" s="5">
        <v>2149</v>
      </c>
      <c r="S314" s="5">
        <v>42.366089026733903</v>
      </c>
      <c r="T314" s="5">
        <v>-71.019186009999999</v>
      </c>
    </row>
    <row r="315" spans="1:20" x14ac:dyDescent="0.3">
      <c r="A315" s="5" t="s">
        <v>1281</v>
      </c>
      <c r="B315" s="6">
        <v>16777</v>
      </c>
      <c r="C315" s="6" t="str">
        <f t="shared" si="92"/>
        <v>Active/Unavailable</v>
      </c>
      <c r="D315" s="5" t="s">
        <v>29</v>
      </c>
      <c r="E315" s="5" t="s">
        <v>1282</v>
      </c>
      <c r="F315" s="5" t="s">
        <v>291</v>
      </c>
      <c r="G315" s="5" t="str">
        <f t="shared" si="81"/>
        <v>Not Available</v>
      </c>
      <c r="H315" s="5" t="str">
        <f t="shared" ref="H315:H316" si="93">"Not Available"</f>
        <v>Not Available</v>
      </c>
      <c r="I315" s="5" t="s">
        <v>65</v>
      </c>
      <c r="J315" s="5" t="s">
        <v>3387</v>
      </c>
      <c r="K315" s="5" t="s">
        <v>3393</v>
      </c>
      <c r="L315" s="5" t="s">
        <v>22</v>
      </c>
      <c r="M315" s="5" t="s">
        <v>3501</v>
      </c>
      <c r="N315" s="5" t="s">
        <v>1283</v>
      </c>
      <c r="O315" s="5" t="s">
        <v>373</v>
      </c>
      <c r="P315" s="5" t="s">
        <v>26</v>
      </c>
      <c r="Q315" s="5" t="s">
        <v>57</v>
      </c>
      <c r="R315" s="5">
        <v>2155</v>
      </c>
      <c r="S315" s="5">
        <v>42.355795859976801</v>
      </c>
      <c r="T315" s="5">
        <v>-71.044457100000002</v>
      </c>
    </row>
    <row r="316" spans="1:20" x14ac:dyDescent="0.3">
      <c r="A316" s="5" t="s">
        <v>1284</v>
      </c>
      <c r="B316" s="6">
        <v>24767</v>
      </c>
      <c r="C316" s="6" t="str">
        <f t="shared" si="92"/>
        <v>Active/Unavailable</v>
      </c>
      <c r="D316" s="5" t="s">
        <v>29</v>
      </c>
      <c r="E316" s="5" t="s">
        <v>1285</v>
      </c>
      <c r="F316" s="5" t="s">
        <v>3360</v>
      </c>
      <c r="G316" s="5" t="str">
        <f t="shared" si="81"/>
        <v>Not Available</v>
      </c>
      <c r="H316" s="5" t="str">
        <f t="shared" si="93"/>
        <v>Not Available</v>
      </c>
      <c r="I316" s="5" t="s">
        <v>22</v>
      </c>
      <c r="J316" s="5" t="s">
        <v>3387</v>
      </c>
      <c r="K316" s="5" t="s">
        <v>3393</v>
      </c>
      <c r="L316" s="5" t="s">
        <v>22</v>
      </c>
      <c r="M316" s="5" t="s">
        <v>3573</v>
      </c>
      <c r="N316" s="5" t="s">
        <v>1286</v>
      </c>
      <c r="O316" s="5" t="s">
        <v>33</v>
      </c>
      <c r="P316" s="5" t="s">
        <v>26</v>
      </c>
      <c r="Q316" s="5" t="s">
        <v>34</v>
      </c>
      <c r="R316" s="5">
        <v>2108</v>
      </c>
      <c r="S316" s="5">
        <v>42.365488845112601</v>
      </c>
      <c r="T316" s="5">
        <v>-71.049263199999999</v>
      </c>
    </row>
    <row r="317" spans="1:20" x14ac:dyDescent="0.3">
      <c r="A317" s="5" t="s">
        <v>1287</v>
      </c>
      <c r="B317" s="6">
        <v>14431</v>
      </c>
      <c r="C317" s="6">
        <v>44263</v>
      </c>
      <c r="D317" s="5" t="s">
        <v>18</v>
      </c>
      <c r="E317" s="5" t="s">
        <v>1288</v>
      </c>
      <c r="F317" s="5" t="s">
        <v>161</v>
      </c>
      <c r="G317" s="5" t="str">
        <f t="shared" si="81"/>
        <v>Not Available</v>
      </c>
      <c r="H317" s="5" t="s">
        <v>226</v>
      </c>
      <c r="I317" s="5" t="s">
        <v>22</v>
      </c>
      <c r="J317" s="5" t="s">
        <v>3387</v>
      </c>
      <c r="K317" s="5" t="s">
        <v>3393</v>
      </c>
      <c r="L317" s="5" t="s">
        <v>23</v>
      </c>
      <c r="M317" s="5" t="s">
        <v>3510</v>
      </c>
      <c r="N317" s="5" t="s">
        <v>1289</v>
      </c>
      <c r="O317" s="5" t="s">
        <v>33</v>
      </c>
      <c r="P317" s="5" t="s">
        <v>26</v>
      </c>
      <c r="Q317" s="5" t="s">
        <v>34</v>
      </c>
      <c r="R317" s="5">
        <v>2121</v>
      </c>
      <c r="S317" s="5">
        <v>42.3859371602273</v>
      </c>
      <c r="T317" s="5">
        <v>-71.049759899999998</v>
      </c>
    </row>
    <row r="318" spans="1:20" x14ac:dyDescent="0.3">
      <c r="A318" s="5" t="s">
        <v>1290</v>
      </c>
      <c r="B318" s="6">
        <v>14431</v>
      </c>
      <c r="C318" s="6">
        <v>44119</v>
      </c>
      <c r="D318" s="5" t="s">
        <v>18</v>
      </c>
      <c r="E318" s="5" t="s">
        <v>1291</v>
      </c>
      <c r="F318" s="5" t="s">
        <v>111</v>
      </c>
      <c r="G318" s="5" t="str">
        <f t="shared" si="81"/>
        <v>Not Available</v>
      </c>
      <c r="H318" s="5" t="s">
        <v>1292</v>
      </c>
      <c r="I318" s="5" t="s">
        <v>22</v>
      </c>
      <c r="J318" s="5" t="s">
        <v>3387</v>
      </c>
      <c r="K318" s="5" t="s">
        <v>3393</v>
      </c>
      <c r="L318" s="5" t="s">
        <v>23</v>
      </c>
      <c r="M318" s="5" t="s">
        <v>3574</v>
      </c>
      <c r="N318" s="5" t="s">
        <v>1293</v>
      </c>
      <c r="O318" s="5" t="s">
        <v>33</v>
      </c>
      <c r="P318" s="5" t="s">
        <v>26</v>
      </c>
      <c r="Q318" s="5" t="s">
        <v>34</v>
      </c>
      <c r="R318" s="5">
        <v>2129</v>
      </c>
      <c r="S318" s="5">
        <v>42.386056240000002</v>
      </c>
      <c r="T318" s="5">
        <v>-71.013872829999997</v>
      </c>
    </row>
    <row r="319" spans="1:20" x14ac:dyDescent="0.3">
      <c r="A319" s="5" t="s">
        <v>1294</v>
      </c>
      <c r="B319" s="6">
        <v>33059</v>
      </c>
      <c r="C319" s="6" t="str">
        <f t="shared" ref="C319:C331" si="94">"Active/Unavailable"</f>
        <v>Active/Unavailable</v>
      </c>
      <c r="D319" s="5" t="s">
        <v>29</v>
      </c>
      <c r="E319" s="5" t="s">
        <v>1295</v>
      </c>
      <c r="F319" s="5" t="s">
        <v>1296</v>
      </c>
      <c r="G319" s="5" t="str">
        <f t="shared" si="81"/>
        <v>Not Available</v>
      </c>
      <c r="H319" s="5" t="str">
        <f t="shared" ref="H319:H321" si="95">"Not Available"</f>
        <v>Not Available</v>
      </c>
      <c r="I319" s="5" t="s">
        <v>22</v>
      </c>
      <c r="J319" s="5" t="s">
        <v>3387</v>
      </c>
      <c r="K319" s="5" t="s">
        <v>3393</v>
      </c>
      <c r="L319" s="5" t="s">
        <v>22</v>
      </c>
      <c r="M319" s="5" t="s">
        <v>3412</v>
      </c>
      <c r="N319" s="5" t="s">
        <v>1297</v>
      </c>
      <c r="O319" s="5" t="s">
        <v>33</v>
      </c>
      <c r="P319" s="5" t="s">
        <v>26</v>
      </c>
      <c r="Q319" s="5" t="s">
        <v>34</v>
      </c>
      <c r="R319" s="5">
        <v>2132</v>
      </c>
      <c r="S319" s="5">
        <v>42.341282790000001</v>
      </c>
      <c r="T319" s="5">
        <v>-71.044245340000003</v>
      </c>
    </row>
    <row r="320" spans="1:20" x14ac:dyDescent="0.3">
      <c r="A320" s="5" t="s">
        <v>1298</v>
      </c>
      <c r="B320" s="6">
        <v>27734</v>
      </c>
      <c r="C320" s="6" t="str">
        <f t="shared" si="94"/>
        <v>Active/Unavailable</v>
      </c>
      <c r="D320" s="5" t="s">
        <v>29</v>
      </c>
      <c r="E320" s="5" t="s">
        <v>1299</v>
      </c>
      <c r="F320" s="5" t="s">
        <v>1300</v>
      </c>
      <c r="G320" s="5" t="str">
        <f t="shared" si="81"/>
        <v>Not Available</v>
      </c>
      <c r="H320" s="5" t="str">
        <f t="shared" si="95"/>
        <v>Not Available</v>
      </c>
      <c r="I320" s="5" t="s">
        <v>65</v>
      </c>
      <c r="J320" s="5" t="s">
        <v>3387</v>
      </c>
      <c r="K320" s="5" t="s">
        <v>3393</v>
      </c>
      <c r="L320" s="5" t="s">
        <v>22</v>
      </c>
      <c r="M320" s="5" t="s">
        <v>3396</v>
      </c>
      <c r="N320" s="5" t="s">
        <v>1301</v>
      </c>
      <c r="O320" s="5" t="s">
        <v>679</v>
      </c>
      <c r="P320" s="5" t="s">
        <v>26</v>
      </c>
      <c r="Q320" s="5" t="s">
        <v>317</v>
      </c>
      <c r="R320" s="5" t="str">
        <f>"0000"</f>
        <v>0000</v>
      </c>
      <c r="S320" s="5">
        <v>42.3669184792641</v>
      </c>
      <c r="T320" s="5">
        <v>-70.894848710000005</v>
      </c>
    </row>
    <row r="321" spans="1:20" x14ac:dyDescent="0.3">
      <c r="A321" s="5" t="s">
        <v>1302</v>
      </c>
      <c r="B321" s="6">
        <v>33349</v>
      </c>
      <c r="C321" s="6" t="str">
        <f t="shared" si="94"/>
        <v>Active/Unavailable</v>
      </c>
      <c r="D321" s="5" t="s">
        <v>29</v>
      </c>
      <c r="E321" s="5" t="s">
        <v>1303</v>
      </c>
      <c r="F321" s="5" t="s">
        <v>1304</v>
      </c>
      <c r="G321" s="5" t="str">
        <f t="shared" si="81"/>
        <v>Not Available</v>
      </c>
      <c r="H321" s="5" t="str">
        <f t="shared" si="95"/>
        <v>Not Available</v>
      </c>
      <c r="I321" s="5" t="s">
        <v>22</v>
      </c>
      <c r="J321" s="5" t="s">
        <v>3387</v>
      </c>
      <c r="K321" s="5" t="s">
        <v>3393</v>
      </c>
      <c r="L321" s="5" t="s">
        <v>22</v>
      </c>
      <c r="M321" s="5" t="s">
        <v>3484</v>
      </c>
      <c r="N321" s="5" t="s">
        <v>3696</v>
      </c>
      <c r="O321" s="5" t="s">
        <v>33</v>
      </c>
      <c r="P321" s="5" t="s">
        <v>26</v>
      </c>
      <c r="Q321" s="5" t="s">
        <v>34</v>
      </c>
      <c r="R321" s="5">
        <v>2116</v>
      </c>
      <c r="S321" s="5">
        <v>42.345442329999997</v>
      </c>
      <c r="T321" s="5">
        <v>-71.011291279999995</v>
      </c>
    </row>
    <row r="322" spans="1:20" x14ac:dyDescent="0.3">
      <c r="A322" s="5" t="s">
        <v>1305</v>
      </c>
      <c r="B322" s="6">
        <v>18586</v>
      </c>
      <c r="C322" s="6" t="str">
        <f t="shared" si="94"/>
        <v>Active/Unavailable</v>
      </c>
      <c r="D322" s="5" t="s">
        <v>18</v>
      </c>
      <c r="E322" s="5" t="s">
        <v>1306</v>
      </c>
      <c r="F322" s="5" t="s">
        <v>1307</v>
      </c>
      <c r="G322" s="5" t="str">
        <f t="shared" si="81"/>
        <v>Not Available</v>
      </c>
      <c r="H322" s="5" t="s">
        <v>106</v>
      </c>
      <c r="I322" s="5" t="s">
        <v>22</v>
      </c>
      <c r="J322" s="5" t="s">
        <v>3389</v>
      </c>
      <c r="K322" s="5" t="s">
        <v>3393</v>
      </c>
      <c r="L322" s="5" t="s">
        <v>23</v>
      </c>
      <c r="M322" s="5" t="s">
        <v>3456</v>
      </c>
      <c r="N322" s="5" t="s">
        <v>1308</v>
      </c>
      <c r="O322" s="5" t="s">
        <v>33</v>
      </c>
      <c r="P322" s="5" t="s">
        <v>26</v>
      </c>
      <c r="Q322" s="5" t="s">
        <v>34</v>
      </c>
      <c r="R322" s="5">
        <v>2129</v>
      </c>
      <c r="S322" s="5">
        <v>42.3743137306572</v>
      </c>
      <c r="T322" s="5">
        <v>-71.035266340000007</v>
      </c>
    </row>
    <row r="323" spans="1:20" x14ac:dyDescent="0.3">
      <c r="A323" s="5" t="s">
        <v>1309</v>
      </c>
      <c r="B323" s="6">
        <v>30012</v>
      </c>
      <c r="C323" s="6" t="str">
        <f t="shared" si="94"/>
        <v>Active/Unavailable</v>
      </c>
      <c r="D323" s="5" t="s">
        <v>18</v>
      </c>
      <c r="E323" s="5" t="s">
        <v>1310</v>
      </c>
      <c r="F323" s="5" t="s">
        <v>1311</v>
      </c>
      <c r="G323" s="5" t="str">
        <f t="shared" si="81"/>
        <v>Not Available</v>
      </c>
      <c r="H323" s="5" t="s">
        <v>1312</v>
      </c>
      <c r="I323" s="5" t="s">
        <v>22</v>
      </c>
      <c r="J323" s="5" t="s">
        <v>3387</v>
      </c>
      <c r="K323" s="5" t="s">
        <v>3393</v>
      </c>
      <c r="L323" s="5" t="s">
        <v>23</v>
      </c>
      <c r="M323" s="5" t="s">
        <v>3400</v>
      </c>
      <c r="N323" s="5" t="s">
        <v>1313</v>
      </c>
      <c r="O323" s="5" t="s">
        <v>25</v>
      </c>
      <c r="P323" s="5" t="s">
        <v>26</v>
      </c>
      <c r="Q323" s="5" t="s">
        <v>27</v>
      </c>
      <c r="R323" s="5">
        <v>2169</v>
      </c>
      <c r="S323" s="5">
        <v>42.299465649167502</v>
      </c>
      <c r="T323" s="5">
        <v>-71.030650179999995</v>
      </c>
    </row>
    <row r="324" spans="1:20" x14ac:dyDescent="0.3">
      <c r="A324" s="5" t="s">
        <v>1314</v>
      </c>
      <c r="B324" s="6">
        <v>29610</v>
      </c>
      <c r="C324" s="6" t="str">
        <f t="shared" si="94"/>
        <v>Active/Unavailable</v>
      </c>
      <c r="D324" s="5" t="s">
        <v>29</v>
      </c>
      <c r="E324" s="5" t="s">
        <v>1315</v>
      </c>
      <c r="F324" s="5" t="s">
        <v>433</v>
      </c>
      <c r="G324" s="5" t="str">
        <f t="shared" si="81"/>
        <v>Not Available</v>
      </c>
      <c r="H324" s="5" t="str">
        <f t="shared" ref="H324:H330" si="96">"Not Available"</f>
        <v>Not Available</v>
      </c>
      <c r="I324" s="5" t="s">
        <v>65</v>
      </c>
      <c r="J324" s="5" t="s">
        <v>3387</v>
      </c>
      <c r="K324" s="5" t="s">
        <v>3393</v>
      </c>
      <c r="L324" s="5" t="s">
        <v>22</v>
      </c>
      <c r="M324" s="5" t="s">
        <v>3547</v>
      </c>
      <c r="N324" s="5" t="s">
        <v>1316</v>
      </c>
      <c r="O324" s="5" t="s">
        <v>316</v>
      </c>
      <c r="P324" s="5" t="s">
        <v>26</v>
      </c>
      <c r="Q324" s="5" t="s">
        <v>317</v>
      </c>
      <c r="R324" s="5">
        <v>2043</v>
      </c>
      <c r="S324" s="5">
        <v>42.2501785111603</v>
      </c>
      <c r="T324" s="5">
        <v>-70.850566959999995</v>
      </c>
    </row>
    <row r="325" spans="1:20" x14ac:dyDescent="0.3">
      <c r="A325" s="5" t="s">
        <v>1317</v>
      </c>
      <c r="B325" s="6">
        <v>19248</v>
      </c>
      <c r="C325" s="6" t="str">
        <f t="shared" si="94"/>
        <v>Active/Unavailable</v>
      </c>
      <c r="D325" s="5" t="s">
        <v>29</v>
      </c>
      <c r="E325" s="5" t="s">
        <v>1318</v>
      </c>
      <c r="F325" s="5" t="s">
        <v>1319</v>
      </c>
      <c r="G325" s="5" t="str">
        <f t="shared" si="81"/>
        <v>Not Available</v>
      </c>
      <c r="H325" s="5" t="str">
        <f t="shared" si="96"/>
        <v>Not Available</v>
      </c>
      <c r="I325" s="5" t="s">
        <v>22</v>
      </c>
      <c r="J325" s="5" t="s">
        <v>3387</v>
      </c>
      <c r="K325" s="5" t="s">
        <v>3393</v>
      </c>
      <c r="L325" s="5" t="s">
        <v>22</v>
      </c>
      <c r="M325" s="5" t="s">
        <v>3510</v>
      </c>
      <c r="N325" s="5" t="s">
        <v>1320</v>
      </c>
      <c r="O325" s="5" t="s">
        <v>209</v>
      </c>
      <c r="P325" s="5" t="s">
        <v>26</v>
      </c>
      <c r="Q325" s="5" t="s">
        <v>27</v>
      </c>
      <c r="R325" s="5">
        <v>2188</v>
      </c>
      <c r="S325" s="5">
        <v>42.276778175263097</v>
      </c>
      <c r="T325" s="5">
        <v>-70.897911829999998</v>
      </c>
    </row>
    <row r="326" spans="1:20" x14ac:dyDescent="0.3">
      <c r="A326" s="5" t="s">
        <v>1321</v>
      </c>
      <c r="B326" s="6">
        <v>32105</v>
      </c>
      <c r="C326" s="6" t="str">
        <f t="shared" si="94"/>
        <v>Active/Unavailable</v>
      </c>
      <c r="D326" s="5" t="s">
        <v>29</v>
      </c>
      <c r="E326" s="5" t="s">
        <v>1322</v>
      </c>
      <c r="F326" s="5" t="s">
        <v>1323</v>
      </c>
      <c r="G326" s="5" t="str">
        <f t="shared" si="81"/>
        <v>Not Available</v>
      </c>
      <c r="H326" s="5" t="str">
        <f t="shared" si="96"/>
        <v>Not Available</v>
      </c>
      <c r="I326" s="5" t="s">
        <v>22</v>
      </c>
      <c r="J326" s="5" t="s">
        <v>3387</v>
      </c>
      <c r="K326" s="5" t="s">
        <v>3393</v>
      </c>
      <c r="L326" s="5" t="s">
        <v>22</v>
      </c>
      <c r="M326" s="5" t="s">
        <v>3575</v>
      </c>
      <c r="N326" s="5" t="s">
        <v>1324</v>
      </c>
      <c r="O326" s="5" t="s">
        <v>316</v>
      </c>
      <c r="P326" s="5" t="s">
        <v>26</v>
      </c>
      <c r="Q326" s="5" t="s">
        <v>317</v>
      </c>
      <c r="R326" s="5">
        <v>2043</v>
      </c>
      <c r="S326" s="5">
        <v>42.253060938356597</v>
      </c>
      <c r="T326" s="5">
        <v>-70.874310519999995</v>
      </c>
    </row>
    <row r="327" spans="1:20" x14ac:dyDescent="0.3">
      <c r="A327" s="5" t="s">
        <v>1325</v>
      </c>
      <c r="B327" s="6">
        <v>9160</v>
      </c>
      <c r="C327" s="6" t="str">
        <f t="shared" si="94"/>
        <v>Active/Unavailable</v>
      </c>
      <c r="D327" s="5" t="s">
        <v>29</v>
      </c>
      <c r="E327" s="5" t="s">
        <v>1326</v>
      </c>
      <c r="F327" s="5" t="s">
        <v>1327</v>
      </c>
      <c r="G327" s="5" t="str">
        <f t="shared" si="81"/>
        <v>Not Available</v>
      </c>
      <c r="H327" s="5" t="str">
        <f t="shared" si="96"/>
        <v>Not Available</v>
      </c>
      <c r="I327" s="5" t="s">
        <v>65</v>
      </c>
      <c r="J327" s="5" t="s">
        <v>3387</v>
      </c>
      <c r="K327" s="5" t="s">
        <v>3393</v>
      </c>
      <c r="L327" s="5" t="s">
        <v>22</v>
      </c>
      <c r="M327" s="5" t="s">
        <v>3576</v>
      </c>
      <c r="N327" s="5" t="s">
        <v>1328</v>
      </c>
      <c r="O327" s="5" t="s">
        <v>845</v>
      </c>
      <c r="P327" s="5" t="s">
        <v>26</v>
      </c>
      <c r="Q327" s="5" t="s">
        <v>57</v>
      </c>
      <c r="R327" s="5">
        <v>2148</v>
      </c>
      <c r="S327" s="5">
        <v>42.472441629025901</v>
      </c>
      <c r="T327" s="5">
        <v>-71.086953230000006</v>
      </c>
    </row>
    <row r="328" spans="1:20" x14ac:dyDescent="0.3">
      <c r="A328" s="5" t="s">
        <v>1329</v>
      </c>
      <c r="B328" s="6">
        <v>12818</v>
      </c>
      <c r="C328" s="6" t="str">
        <f t="shared" si="94"/>
        <v>Active/Unavailable</v>
      </c>
      <c r="D328" s="5" t="s">
        <v>29</v>
      </c>
      <c r="E328" s="5" t="s">
        <v>1330</v>
      </c>
      <c r="F328" s="5" t="s">
        <v>157</v>
      </c>
      <c r="G328" s="5" t="str">
        <f t="shared" si="81"/>
        <v>Not Available</v>
      </c>
      <c r="H328" s="5" t="str">
        <f t="shared" si="96"/>
        <v>Not Available</v>
      </c>
      <c r="I328" s="5" t="s">
        <v>22</v>
      </c>
      <c r="J328" s="5" t="s">
        <v>3387</v>
      </c>
      <c r="K328" s="5" t="s">
        <v>3393</v>
      </c>
      <c r="L328" s="5" t="s">
        <v>22</v>
      </c>
      <c r="M328" s="5" t="s">
        <v>3400</v>
      </c>
      <c r="N328" s="5" t="s">
        <v>3697</v>
      </c>
      <c r="O328" s="5" t="s">
        <v>33</v>
      </c>
      <c r="P328" s="5" t="s">
        <v>26</v>
      </c>
      <c r="Q328" s="5" t="s">
        <v>34</v>
      </c>
      <c r="R328" s="5">
        <v>2203</v>
      </c>
      <c r="S328" s="5">
        <v>42.319911272325598</v>
      </c>
      <c r="T328" s="5">
        <v>-71.014664139999994</v>
      </c>
    </row>
    <row r="329" spans="1:20" x14ac:dyDescent="0.3">
      <c r="A329" s="5" t="s">
        <v>1331</v>
      </c>
      <c r="B329" s="6">
        <v>10828</v>
      </c>
      <c r="C329" s="6" t="str">
        <f t="shared" si="94"/>
        <v>Active/Unavailable</v>
      </c>
      <c r="D329" s="5" t="s">
        <v>29</v>
      </c>
      <c r="E329" s="5" t="s">
        <v>1332</v>
      </c>
      <c r="F329" s="5" t="s">
        <v>549</v>
      </c>
      <c r="G329" s="5" t="str">
        <f t="shared" si="81"/>
        <v>Not Available</v>
      </c>
      <c r="H329" s="5" t="str">
        <f t="shared" si="96"/>
        <v>Not Available</v>
      </c>
      <c r="I329" s="5" t="s">
        <v>65</v>
      </c>
      <c r="J329" s="5" t="s">
        <v>3387</v>
      </c>
      <c r="K329" s="5" t="s">
        <v>3393</v>
      </c>
      <c r="L329" s="5" t="s">
        <v>22</v>
      </c>
      <c r="M329" s="5" t="s">
        <v>3405</v>
      </c>
      <c r="N329" s="5" t="s">
        <v>1333</v>
      </c>
      <c r="O329" s="5" t="s">
        <v>354</v>
      </c>
      <c r="P329" s="5" t="s">
        <v>26</v>
      </c>
      <c r="Q329" s="5" t="s">
        <v>57</v>
      </c>
      <c r="R329" s="5">
        <v>2468</v>
      </c>
      <c r="S329" s="5">
        <v>42.332526051425397</v>
      </c>
      <c r="T329" s="5">
        <v>-71.163804549999995</v>
      </c>
    </row>
    <row r="330" spans="1:20" x14ac:dyDescent="0.3">
      <c r="A330" s="5" t="s">
        <v>1334</v>
      </c>
      <c r="B330" s="6">
        <v>10895</v>
      </c>
      <c r="C330" s="6" t="str">
        <f t="shared" si="94"/>
        <v>Active/Unavailable</v>
      </c>
      <c r="D330" s="5" t="s">
        <v>100</v>
      </c>
      <c r="E330" s="5" t="s">
        <v>1335</v>
      </c>
      <c r="F330" s="5" t="s">
        <v>206</v>
      </c>
      <c r="G330" s="5" t="str">
        <f t="shared" si="81"/>
        <v>Not Available</v>
      </c>
      <c r="H330" s="5" t="str">
        <f t="shared" si="96"/>
        <v>Not Available</v>
      </c>
      <c r="I330" s="5" t="s">
        <v>65</v>
      </c>
      <c r="J330" s="5" t="s">
        <v>3387</v>
      </c>
      <c r="K330" s="5" t="s">
        <v>3393</v>
      </c>
      <c r="L330" s="5" t="s">
        <v>23</v>
      </c>
      <c r="M330" s="5" t="s">
        <v>3436</v>
      </c>
      <c r="N330" s="5" t="s">
        <v>1336</v>
      </c>
      <c r="O330" s="5" t="s">
        <v>25</v>
      </c>
      <c r="P330" s="5" t="s">
        <v>26</v>
      </c>
      <c r="Q330" s="5" t="s">
        <v>27</v>
      </c>
      <c r="R330" s="5">
        <v>2171</v>
      </c>
      <c r="S330" s="5">
        <v>42.273992257169802</v>
      </c>
      <c r="T330" s="5">
        <v>-70.977037409999994</v>
      </c>
    </row>
    <row r="331" spans="1:20" x14ac:dyDescent="0.3">
      <c r="A331" s="5" t="s">
        <v>1337</v>
      </c>
      <c r="B331" s="6">
        <v>30243</v>
      </c>
      <c r="C331" s="6" t="str">
        <f t="shared" si="94"/>
        <v>Active/Unavailable</v>
      </c>
      <c r="D331" s="5" t="s">
        <v>18</v>
      </c>
      <c r="E331" s="5" t="s">
        <v>1338</v>
      </c>
      <c r="F331" s="5" t="s">
        <v>1339</v>
      </c>
      <c r="G331" s="5" t="str">
        <f t="shared" si="81"/>
        <v>Not Available</v>
      </c>
      <c r="H331" s="5" t="s">
        <v>49</v>
      </c>
      <c r="I331" s="5" t="s">
        <v>22</v>
      </c>
      <c r="J331" s="5" t="s">
        <v>3387</v>
      </c>
      <c r="K331" s="5" t="s">
        <v>3394</v>
      </c>
      <c r="L331" s="5" t="s">
        <v>23</v>
      </c>
      <c r="M331" s="5" t="s">
        <v>3408</v>
      </c>
      <c r="N331" s="5" t="s">
        <v>1340</v>
      </c>
      <c r="O331" s="5" t="s">
        <v>145</v>
      </c>
      <c r="P331" s="5" t="s">
        <v>26</v>
      </c>
      <c r="Q331" s="5" t="s">
        <v>57</v>
      </c>
      <c r="R331" s="5">
        <v>2149</v>
      </c>
      <c r="S331" s="5">
        <v>42.372378884190297</v>
      </c>
      <c r="T331" s="5">
        <v>-71.081103600000006</v>
      </c>
    </row>
    <row r="332" spans="1:20" x14ac:dyDescent="0.3">
      <c r="A332" s="5" t="s">
        <v>1341</v>
      </c>
      <c r="B332" s="6">
        <v>8670</v>
      </c>
      <c r="C332" s="6">
        <v>44021</v>
      </c>
      <c r="D332" s="5" t="s">
        <v>18</v>
      </c>
      <c r="E332" s="5" t="s">
        <v>1342</v>
      </c>
      <c r="F332" s="5" t="s">
        <v>3365</v>
      </c>
      <c r="G332" s="5" t="str">
        <f t="shared" si="81"/>
        <v>Not Available</v>
      </c>
      <c r="H332" s="5" t="s">
        <v>1343</v>
      </c>
      <c r="I332" s="5" t="s">
        <v>22</v>
      </c>
      <c r="J332" s="5" t="s">
        <v>3387</v>
      </c>
      <c r="K332" s="5" t="s">
        <v>3393</v>
      </c>
      <c r="L332" s="5" t="s">
        <v>23</v>
      </c>
      <c r="M332" s="5" t="s">
        <v>3547</v>
      </c>
      <c r="N332" s="5" t="s">
        <v>1344</v>
      </c>
      <c r="O332" s="5" t="s">
        <v>56</v>
      </c>
      <c r="P332" s="5" t="s">
        <v>26</v>
      </c>
      <c r="Q332" s="5" t="s">
        <v>57</v>
      </c>
      <c r="R332" s="5">
        <v>2138</v>
      </c>
      <c r="S332" s="5">
        <v>42.340196088290803</v>
      </c>
      <c r="T332" s="5">
        <v>-71.056963530000004</v>
      </c>
    </row>
    <row r="333" spans="1:20" x14ac:dyDescent="0.3">
      <c r="A333" s="5" t="s">
        <v>1345</v>
      </c>
      <c r="B333" s="6">
        <v>32703</v>
      </c>
      <c r="C333" s="6" t="str">
        <f t="shared" ref="C333:C336" si="97">"Active/Unavailable"</f>
        <v>Active/Unavailable</v>
      </c>
      <c r="D333" s="5" t="s">
        <v>18</v>
      </c>
      <c r="E333" s="5" t="s">
        <v>1346</v>
      </c>
      <c r="F333" s="5" t="s">
        <v>1008</v>
      </c>
      <c r="G333" s="5" t="str">
        <f t="shared" si="81"/>
        <v>Not Available</v>
      </c>
      <c r="H333" s="5" t="s">
        <v>1347</v>
      </c>
      <c r="I333" s="5" t="s">
        <v>22</v>
      </c>
      <c r="J333" s="5" t="s">
        <v>3389</v>
      </c>
      <c r="K333" s="5" t="s">
        <v>3393</v>
      </c>
      <c r="L333" s="5" t="s">
        <v>23</v>
      </c>
      <c r="M333" s="5" t="s">
        <v>3400</v>
      </c>
      <c r="N333" s="5" t="s">
        <v>1348</v>
      </c>
      <c r="O333" s="5" t="s">
        <v>33</v>
      </c>
      <c r="P333" s="5" t="s">
        <v>26</v>
      </c>
      <c r="Q333" s="5" t="s">
        <v>34</v>
      </c>
      <c r="R333" s="5">
        <v>2110</v>
      </c>
      <c r="S333" s="5">
        <v>42.3959079203877</v>
      </c>
      <c r="T333" s="5">
        <v>-71.010821329999999</v>
      </c>
    </row>
    <row r="334" spans="1:20" x14ac:dyDescent="0.3">
      <c r="A334" s="5" t="s">
        <v>1349</v>
      </c>
      <c r="B334" s="6">
        <v>31492</v>
      </c>
      <c r="C334" s="6" t="str">
        <f t="shared" si="97"/>
        <v>Active/Unavailable</v>
      </c>
      <c r="D334" s="5" t="s">
        <v>18</v>
      </c>
      <c r="E334" s="5" t="s">
        <v>1350</v>
      </c>
      <c r="F334" s="5" t="s">
        <v>1351</v>
      </c>
      <c r="G334" s="5" t="str">
        <f t="shared" si="81"/>
        <v>Not Available</v>
      </c>
      <c r="H334" s="5" t="s">
        <v>1352</v>
      </c>
      <c r="I334" s="5" t="s">
        <v>22</v>
      </c>
      <c r="J334" s="5" t="s">
        <v>3387</v>
      </c>
      <c r="K334" s="5" t="s">
        <v>3393</v>
      </c>
      <c r="L334" s="5" t="s">
        <v>23</v>
      </c>
      <c r="M334" s="5" t="s">
        <v>3525</v>
      </c>
      <c r="N334" s="5" t="s">
        <v>1353</v>
      </c>
      <c r="O334" s="5" t="s">
        <v>209</v>
      </c>
      <c r="P334" s="5" t="s">
        <v>26</v>
      </c>
      <c r="Q334" s="5" t="s">
        <v>27</v>
      </c>
      <c r="R334" s="5" t="str">
        <f>"0000"</f>
        <v>0000</v>
      </c>
      <c r="S334" s="5">
        <v>42.2382411280065</v>
      </c>
      <c r="T334" s="5">
        <v>-70.9259816</v>
      </c>
    </row>
    <row r="335" spans="1:20" x14ac:dyDescent="0.3">
      <c r="A335" s="5" t="s">
        <v>1354</v>
      </c>
      <c r="B335" s="6">
        <v>21992</v>
      </c>
      <c r="C335" s="6" t="str">
        <f t="shared" si="97"/>
        <v>Active/Unavailable</v>
      </c>
      <c r="D335" s="5" t="s">
        <v>29</v>
      </c>
      <c r="E335" s="5" t="s">
        <v>1355</v>
      </c>
      <c r="F335" s="5" t="s">
        <v>1356</v>
      </c>
      <c r="G335" s="5" t="s">
        <v>314</v>
      </c>
      <c r="H335" s="5" t="str">
        <f>"Not Available"</f>
        <v>Not Available</v>
      </c>
      <c r="I335" s="5" t="s">
        <v>22</v>
      </c>
      <c r="J335" s="5" t="s">
        <v>3388</v>
      </c>
      <c r="K335" s="5" t="s">
        <v>3393</v>
      </c>
      <c r="L335" s="5" t="s">
        <v>22</v>
      </c>
      <c r="M335" s="5" t="s">
        <v>3577</v>
      </c>
      <c r="N335" s="5" t="s">
        <v>1357</v>
      </c>
      <c r="O335" s="5" t="s">
        <v>33</v>
      </c>
      <c r="P335" s="5" t="s">
        <v>26</v>
      </c>
      <c r="Q335" s="5" t="s">
        <v>34</v>
      </c>
      <c r="R335" s="5">
        <v>2114</v>
      </c>
      <c r="S335" s="5">
        <v>42.369791310720302</v>
      </c>
      <c r="T335" s="5">
        <v>-70.972396840000002</v>
      </c>
    </row>
    <row r="336" spans="1:20" x14ac:dyDescent="0.3">
      <c r="A336" s="5" t="s">
        <v>1358</v>
      </c>
      <c r="B336" s="6">
        <v>25666</v>
      </c>
      <c r="C336" s="6" t="str">
        <f t="shared" si="97"/>
        <v>Active/Unavailable</v>
      </c>
      <c r="D336" s="5" t="s">
        <v>18</v>
      </c>
      <c r="E336" s="5" t="s">
        <v>1359</v>
      </c>
      <c r="F336" s="5" t="s">
        <v>282</v>
      </c>
      <c r="G336" s="5" t="str">
        <f t="shared" ref="G336:G368" si="98">"Not Available"</f>
        <v>Not Available</v>
      </c>
      <c r="H336" s="5" t="s">
        <v>1360</v>
      </c>
      <c r="I336" s="5" t="s">
        <v>22</v>
      </c>
      <c r="J336" s="5" t="s">
        <v>3387</v>
      </c>
      <c r="K336" s="5" t="s">
        <v>3393</v>
      </c>
      <c r="L336" s="5" t="s">
        <v>23</v>
      </c>
      <c r="M336" s="5" t="s">
        <v>3430</v>
      </c>
      <c r="N336" s="5" t="s">
        <v>1361</v>
      </c>
      <c r="O336" s="5" t="s">
        <v>316</v>
      </c>
      <c r="P336" s="5" t="s">
        <v>26</v>
      </c>
      <c r="Q336" s="5" t="s">
        <v>317</v>
      </c>
      <c r="R336" s="5" t="str">
        <f>"0000"</f>
        <v>0000</v>
      </c>
      <c r="S336" s="5">
        <v>42.2407918309626</v>
      </c>
      <c r="T336" s="5">
        <v>-70.915679569999995</v>
      </c>
    </row>
    <row r="337" spans="1:20" x14ac:dyDescent="0.3">
      <c r="A337" s="5" t="s">
        <v>1362</v>
      </c>
      <c r="B337" s="6">
        <v>15318</v>
      </c>
      <c r="C337" s="6">
        <v>41619</v>
      </c>
      <c r="D337" s="5" t="s">
        <v>29</v>
      </c>
      <c r="E337" s="5" t="s">
        <v>339</v>
      </c>
      <c r="F337" s="5" t="s">
        <v>1363</v>
      </c>
      <c r="G337" s="5" t="str">
        <f t="shared" si="98"/>
        <v>Not Available</v>
      </c>
      <c r="H337" s="5" t="str">
        <f>"Not Available"</f>
        <v>Not Available</v>
      </c>
      <c r="I337" s="5" t="s">
        <v>22</v>
      </c>
      <c r="J337" s="5" t="s">
        <v>3387</v>
      </c>
      <c r="K337" s="5" t="s">
        <v>3394</v>
      </c>
      <c r="L337" s="5" t="s">
        <v>22</v>
      </c>
      <c r="M337" s="5" t="s">
        <v>3558</v>
      </c>
      <c r="N337" s="5" t="s">
        <v>1364</v>
      </c>
      <c r="O337" s="5" t="s">
        <v>274</v>
      </c>
      <c r="P337" s="5" t="s">
        <v>26</v>
      </c>
      <c r="Q337" s="5" t="s">
        <v>57</v>
      </c>
      <c r="R337" s="5">
        <v>2180</v>
      </c>
      <c r="S337" s="5">
        <v>42.491848486296199</v>
      </c>
      <c r="T337" s="5">
        <v>-71.086694089999995</v>
      </c>
    </row>
    <row r="338" spans="1:20" x14ac:dyDescent="0.3">
      <c r="A338" s="5" t="s">
        <v>1365</v>
      </c>
      <c r="B338" s="6">
        <v>29443</v>
      </c>
      <c r="C338" s="6">
        <v>43462</v>
      </c>
      <c r="D338" s="5" t="s">
        <v>18</v>
      </c>
      <c r="E338" s="5" t="s">
        <v>1366</v>
      </c>
      <c r="F338" s="5" t="s">
        <v>1367</v>
      </c>
      <c r="G338" s="5" t="str">
        <f t="shared" si="98"/>
        <v>Not Available</v>
      </c>
      <c r="H338" s="5" t="s">
        <v>1368</v>
      </c>
      <c r="I338" s="5" t="s">
        <v>22</v>
      </c>
      <c r="J338" s="5" t="s">
        <v>3389</v>
      </c>
      <c r="K338" s="5" t="s">
        <v>3393</v>
      </c>
      <c r="L338" s="5" t="s">
        <v>23</v>
      </c>
      <c r="M338" s="5" t="s">
        <v>3513</v>
      </c>
      <c r="N338" s="5" t="s">
        <v>1369</v>
      </c>
      <c r="O338" s="5" t="s">
        <v>33</v>
      </c>
      <c r="P338" s="5" t="s">
        <v>26</v>
      </c>
      <c r="Q338" s="5" t="s">
        <v>34</v>
      </c>
      <c r="R338" s="5">
        <v>2134</v>
      </c>
      <c r="S338" s="5">
        <v>42.308106565907401</v>
      </c>
      <c r="T338" s="5">
        <v>-71.080677840000007</v>
      </c>
    </row>
    <row r="339" spans="1:20" x14ac:dyDescent="0.3">
      <c r="A339" s="5" t="s">
        <v>1370</v>
      </c>
      <c r="B339" s="6">
        <v>10880</v>
      </c>
      <c r="C339" s="6">
        <v>41427</v>
      </c>
      <c r="D339" s="5" t="s">
        <v>29</v>
      </c>
      <c r="E339" s="5" t="s">
        <v>1371</v>
      </c>
      <c r="F339" s="5" t="s">
        <v>1372</v>
      </c>
      <c r="G339" s="5" t="str">
        <f t="shared" si="98"/>
        <v>Not Available</v>
      </c>
      <c r="H339" s="5" t="str">
        <f t="shared" ref="H339:H341" si="99">"Not Available"</f>
        <v>Not Available</v>
      </c>
      <c r="I339" s="5" t="s">
        <v>65</v>
      </c>
      <c r="J339" s="5" t="s">
        <v>3387</v>
      </c>
      <c r="K339" s="5" t="s">
        <v>3393</v>
      </c>
      <c r="L339" s="5" t="s">
        <v>22</v>
      </c>
      <c r="M339" s="5" t="s">
        <v>3527</v>
      </c>
      <c r="N339" s="5" t="s">
        <v>3698</v>
      </c>
      <c r="O339" s="5" t="s">
        <v>33</v>
      </c>
      <c r="P339" s="5" t="s">
        <v>26</v>
      </c>
      <c r="Q339" s="5" t="s">
        <v>34</v>
      </c>
      <c r="R339" s="5">
        <v>2210</v>
      </c>
      <c r="S339" s="5">
        <v>42.336612839127802</v>
      </c>
      <c r="T339" s="5">
        <v>-70.989826609999994</v>
      </c>
    </row>
    <row r="340" spans="1:20" x14ac:dyDescent="0.3">
      <c r="A340" s="5" t="s">
        <v>1373</v>
      </c>
      <c r="B340" s="6">
        <v>14698</v>
      </c>
      <c r="C340" s="6" t="str">
        <f t="shared" ref="C340:C343" si="100">"Active/Unavailable"</f>
        <v>Active/Unavailable</v>
      </c>
      <c r="D340" s="5" t="s">
        <v>29</v>
      </c>
      <c r="E340" s="5" t="s">
        <v>1374</v>
      </c>
      <c r="F340" s="5" t="s">
        <v>1375</v>
      </c>
      <c r="G340" s="5" t="str">
        <f t="shared" si="98"/>
        <v>Not Available</v>
      </c>
      <c r="H340" s="5" t="str">
        <f t="shared" si="99"/>
        <v>Not Available</v>
      </c>
      <c r="I340" s="5" t="s">
        <v>65</v>
      </c>
      <c r="J340" s="5" t="s">
        <v>3387</v>
      </c>
      <c r="K340" s="5" t="s">
        <v>3393</v>
      </c>
      <c r="L340" s="5" t="s">
        <v>22</v>
      </c>
      <c r="M340" s="5" t="s">
        <v>3442</v>
      </c>
      <c r="N340" s="5" t="s">
        <v>1376</v>
      </c>
      <c r="O340" s="5" t="s">
        <v>33</v>
      </c>
      <c r="P340" s="5" t="s">
        <v>26</v>
      </c>
      <c r="Q340" s="5" t="s">
        <v>34</v>
      </c>
      <c r="R340" s="5">
        <v>2124</v>
      </c>
      <c r="S340" s="5">
        <v>42.338080612415403</v>
      </c>
      <c r="T340" s="5">
        <v>-71.085771579999999</v>
      </c>
    </row>
    <row r="341" spans="1:20" x14ac:dyDescent="0.3">
      <c r="A341" s="5" t="s">
        <v>1377</v>
      </c>
      <c r="B341" s="6">
        <v>10880</v>
      </c>
      <c r="C341" s="6" t="str">
        <f t="shared" si="100"/>
        <v>Active/Unavailable</v>
      </c>
      <c r="D341" s="5" t="s">
        <v>29</v>
      </c>
      <c r="E341" s="5" t="s">
        <v>1378</v>
      </c>
      <c r="F341" s="5" t="s">
        <v>913</v>
      </c>
      <c r="G341" s="5" t="str">
        <f t="shared" si="98"/>
        <v>Not Available</v>
      </c>
      <c r="H341" s="5" t="str">
        <f t="shared" si="99"/>
        <v>Not Available</v>
      </c>
      <c r="I341" s="5" t="s">
        <v>22</v>
      </c>
      <c r="J341" s="5" t="s">
        <v>3387</v>
      </c>
      <c r="K341" s="5" t="s">
        <v>3393</v>
      </c>
      <c r="L341" s="5" t="s">
        <v>22</v>
      </c>
      <c r="M341" s="5" t="s">
        <v>3540</v>
      </c>
      <c r="N341" s="5" t="s">
        <v>1379</v>
      </c>
      <c r="O341" s="5" t="s">
        <v>33</v>
      </c>
      <c r="P341" s="5" t="s">
        <v>26</v>
      </c>
      <c r="Q341" s="5" t="s">
        <v>34</v>
      </c>
      <c r="R341" s="5">
        <v>2113</v>
      </c>
      <c r="S341" s="5">
        <v>42.344236498048197</v>
      </c>
      <c r="T341" s="5">
        <v>-71.034190199999998</v>
      </c>
    </row>
    <row r="342" spans="1:20" x14ac:dyDescent="0.3">
      <c r="A342" s="5" t="s">
        <v>1380</v>
      </c>
      <c r="B342" s="6">
        <v>17309</v>
      </c>
      <c r="C342" s="6" t="str">
        <f t="shared" si="100"/>
        <v>Active/Unavailable</v>
      </c>
      <c r="D342" s="5" t="s">
        <v>18</v>
      </c>
      <c r="E342" s="5" t="s">
        <v>1381</v>
      </c>
      <c r="F342" s="5" t="s">
        <v>437</v>
      </c>
      <c r="G342" s="5" t="str">
        <f t="shared" si="98"/>
        <v>Not Available</v>
      </c>
      <c r="H342" s="5" t="s">
        <v>21</v>
      </c>
      <c r="I342" s="5" t="s">
        <v>22</v>
      </c>
      <c r="J342" s="5" t="s">
        <v>3387</v>
      </c>
      <c r="K342" s="5" t="s">
        <v>3393</v>
      </c>
      <c r="L342" s="5" t="s">
        <v>23</v>
      </c>
      <c r="M342" s="5" t="s">
        <v>3459</v>
      </c>
      <c r="N342" s="5" t="s">
        <v>1382</v>
      </c>
      <c r="O342" s="5" t="s">
        <v>25</v>
      </c>
      <c r="P342" s="5" t="s">
        <v>26</v>
      </c>
      <c r="Q342" s="5" t="s">
        <v>27</v>
      </c>
      <c r="R342" s="5" t="str">
        <f>"0000"</f>
        <v>0000</v>
      </c>
      <c r="S342" s="5">
        <v>42.294332305485</v>
      </c>
      <c r="T342" s="5">
        <v>-71.041053250000004</v>
      </c>
    </row>
    <row r="343" spans="1:20" x14ac:dyDescent="0.3">
      <c r="A343" s="5" t="s">
        <v>1383</v>
      </c>
      <c r="B343" s="6">
        <v>22236</v>
      </c>
      <c r="C343" s="6" t="str">
        <f t="shared" si="100"/>
        <v>Active/Unavailable</v>
      </c>
      <c r="D343" s="5" t="s">
        <v>18</v>
      </c>
      <c r="E343" s="5" t="s">
        <v>1384</v>
      </c>
      <c r="F343" s="5" t="s">
        <v>1385</v>
      </c>
      <c r="G343" s="5" t="str">
        <f t="shared" si="98"/>
        <v>Not Available</v>
      </c>
      <c r="H343" s="5" t="s">
        <v>1386</v>
      </c>
      <c r="I343" s="5" t="s">
        <v>22</v>
      </c>
      <c r="J343" s="5" t="s">
        <v>3388</v>
      </c>
      <c r="K343" s="5" t="s">
        <v>3393</v>
      </c>
      <c r="L343" s="5" t="s">
        <v>23</v>
      </c>
      <c r="M343" s="5" t="s">
        <v>3527</v>
      </c>
      <c r="N343" s="5" t="s">
        <v>1387</v>
      </c>
      <c r="O343" s="5" t="s">
        <v>33</v>
      </c>
      <c r="P343" s="5" t="s">
        <v>26</v>
      </c>
      <c r="Q343" s="5" t="s">
        <v>34</v>
      </c>
      <c r="R343" s="5">
        <v>2124</v>
      </c>
      <c r="S343" s="5">
        <v>42.379047290517804</v>
      </c>
      <c r="T343" s="5">
        <v>-71.03719461</v>
      </c>
    </row>
    <row r="344" spans="1:20" x14ac:dyDescent="0.3">
      <c r="A344" s="5" t="s">
        <v>1388</v>
      </c>
      <c r="B344" s="6">
        <v>23381</v>
      </c>
      <c r="C344" s="6">
        <v>43984</v>
      </c>
      <c r="D344" s="5" t="s">
        <v>18</v>
      </c>
      <c r="E344" s="5" t="s">
        <v>1389</v>
      </c>
      <c r="F344" s="5" t="s">
        <v>216</v>
      </c>
      <c r="G344" s="5" t="str">
        <f t="shared" si="98"/>
        <v>Not Available</v>
      </c>
      <c r="H344" s="5" t="s">
        <v>920</v>
      </c>
      <c r="I344" s="5" t="s">
        <v>22</v>
      </c>
      <c r="J344" s="5" t="s">
        <v>3387</v>
      </c>
      <c r="K344" s="5" t="s">
        <v>3393</v>
      </c>
      <c r="L344" s="5" t="s">
        <v>23</v>
      </c>
      <c r="M344" s="5" t="s">
        <v>3578</v>
      </c>
      <c r="N344" s="5" t="s">
        <v>1390</v>
      </c>
      <c r="O344" s="5" t="s">
        <v>33</v>
      </c>
      <c r="P344" s="5" t="s">
        <v>26</v>
      </c>
      <c r="Q344" s="5" t="s">
        <v>34</v>
      </c>
      <c r="R344" s="5">
        <v>2203</v>
      </c>
      <c r="S344" s="5">
        <v>42.348269122142298</v>
      </c>
      <c r="T344" s="5">
        <v>-71.042250989999999</v>
      </c>
    </row>
    <row r="345" spans="1:20" x14ac:dyDescent="0.3">
      <c r="A345" s="7" t="s">
        <v>1391</v>
      </c>
      <c r="B345" s="6">
        <v>11976</v>
      </c>
      <c r="C345" s="6" t="str">
        <f t="shared" ref="C345:C349" si="101">"Active/Unavailable"</f>
        <v>Active/Unavailable</v>
      </c>
      <c r="D345" s="5" t="s">
        <v>29</v>
      </c>
      <c r="E345" s="5" t="s">
        <v>196</v>
      </c>
      <c r="F345" s="5" t="s">
        <v>161</v>
      </c>
      <c r="G345" s="5" t="str">
        <f t="shared" si="98"/>
        <v>Not Available</v>
      </c>
      <c r="H345" s="5" t="str">
        <f>"Not Available"</f>
        <v>Not Available</v>
      </c>
      <c r="I345" s="5" t="s">
        <v>22</v>
      </c>
      <c r="J345" s="5" t="s">
        <v>3388</v>
      </c>
      <c r="K345" s="5" t="s">
        <v>3393</v>
      </c>
      <c r="L345" s="5" t="s">
        <v>22</v>
      </c>
      <c r="M345" s="5" t="s">
        <v>3400</v>
      </c>
      <c r="N345" s="5" t="s">
        <v>1392</v>
      </c>
      <c r="O345" s="5" t="s">
        <v>56</v>
      </c>
      <c r="P345" s="5" t="s">
        <v>26</v>
      </c>
      <c r="Q345" s="5" t="s">
        <v>57</v>
      </c>
      <c r="R345" s="5">
        <v>2472</v>
      </c>
      <c r="S345" s="5">
        <v>42.351489378884601</v>
      </c>
      <c r="T345" s="5">
        <v>-71.152766499999998</v>
      </c>
    </row>
    <row r="346" spans="1:20" x14ac:dyDescent="0.3">
      <c r="A346" s="5" t="s">
        <v>1393</v>
      </c>
      <c r="B346" s="6">
        <v>23381</v>
      </c>
      <c r="C346" s="6" t="str">
        <f t="shared" si="101"/>
        <v>Active/Unavailable</v>
      </c>
      <c r="D346" s="5" t="s">
        <v>18</v>
      </c>
      <c r="E346" s="5" t="s">
        <v>1394</v>
      </c>
      <c r="F346" s="5" t="s">
        <v>568</v>
      </c>
      <c r="G346" s="5" t="str">
        <f t="shared" si="98"/>
        <v>Not Available</v>
      </c>
      <c r="H346" s="5" t="s">
        <v>1395</v>
      </c>
      <c r="I346" s="5" t="s">
        <v>22</v>
      </c>
      <c r="J346" s="5" t="s">
        <v>3387</v>
      </c>
      <c r="K346" s="5" t="s">
        <v>3393</v>
      </c>
      <c r="L346" s="5" t="s">
        <v>23</v>
      </c>
      <c r="M346" s="5" t="s">
        <v>3571</v>
      </c>
      <c r="N346" s="5" t="s">
        <v>1396</v>
      </c>
      <c r="O346" s="5" t="s">
        <v>33</v>
      </c>
      <c r="P346" s="5" t="s">
        <v>26</v>
      </c>
      <c r="Q346" s="5" t="s">
        <v>34</v>
      </c>
      <c r="R346" s="5">
        <v>2111</v>
      </c>
      <c r="S346" s="5">
        <v>42.369374214821299</v>
      </c>
      <c r="T346" s="5">
        <v>-71.047639050000001</v>
      </c>
    </row>
    <row r="347" spans="1:20" x14ac:dyDescent="0.3">
      <c r="A347" s="5" t="s">
        <v>1397</v>
      </c>
      <c r="B347" s="6">
        <v>32265</v>
      </c>
      <c r="C347" s="6" t="str">
        <f t="shared" si="101"/>
        <v>Active/Unavailable</v>
      </c>
      <c r="D347" s="5" t="s">
        <v>29</v>
      </c>
      <c r="E347" s="5" t="s">
        <v>1398</v>
      </c>
      <c r="F347" s="5" t="s">
        <v>1399</v>
      </c>
      <c r="G347" s="5" t="str">
        <f t="shared" si="98"/>
        <v>Not Available</v>
      </c>
      <c r="H347" s="5" t="str">
        <f t="shared" ref="H347:H352" si="102">"Not Available"</f>
        <v>Not Available</v>
      </c>
      <c r="I347" s="5" t="s">
        <v>22</v>
      </c>
      <c r="J347" s="5" t="s">
        <v>3387</v>
      </c>
      <c r="K347" s="5" t="s">
        <v>3393</v>
      </c>
      <c r="L347" s="5" t="s">
        <v>22</v>
      </c>
      <c r="M347" s="5" t="s">
        <v>3579</v>
      </c>
      <c r="N347" s="5" t="s">
        <v>1400</v>
      </c>
      <c r="O347" s="5" t="s">
        <v>486</v>
      </c>
      <c r="P347" s="5" t="s">
        <v>26</v>
      </c>
      <c r="Q347" s="5" t="s">
        <v>34</v>
      </c>
      <c r="R347" s="5" t="str">
        <f>"0000"</f>
        <v>0000</v>
      </c>
      <c r="S347" s="5">
        <v>42.409764689086899</v>
      </c>
      <c r="T347" s="5">
        <v>-70.966609919999996</v>
      </c>
    </row>
    <row r="348" spans="1:20" x14ac:dyDescent="0.3">
      <c r="A348" s="5" t="s">
        <v>1401</v>
      </c>
      <c r="B348" s="6">
        <v>31961</v>
      </c>
      <c r="C348" s="6" t="str">
        <f t="shared" si="101"/>
        <v>Active/Unavailable</v>
      </c>
      <c r="D348" s="5" t="s">
        <v>29</v>
      </c>
      <c r="E348" s="5" t="s">
        <v>1402</v>
      </c>
      <c r="F348" s="5" t="s">
        <v>1403</v>
      </c>
      <c r="G348" s="5" t="str">
        <f t="shared" si="98"/>
        <v>Not Available</v>
      </c>
      <c r="H348" s="5" t="str">
        <f t="shared" si="102"/>
        <v>Not Available</v>
      </c>
      <c r="I348" s="5" t="s">
        <v>22</v>
      </c>
      <c r="J348" s="5" t="s">
        <v>3387</v>
      </c>
      <c r="K348" s="5" t="s">
        <v>3393</v>
      </c>
      <c r="L348" s="5" t="s">
        <v>22</v>
      </c>
      <c r="M348" s="5" t="s">
        <v>3573</v>
      </c>
      <c r="N348" s="5" t="s">
        <v>1404</v>
      </c>
      <c r="O348" s="5" t="s">
        <v>33</v>
      </c>
      <c r="P348" s="5" t="s">
        <v>26</v>
      </c>
      <c r="Q348" s="5" t="s">
        <v>34</v>
      </c>
      <c r="R348" s="5">
        <v>2120</v>
      </c>
      <c r="S348" s="5">
        <v>42.374793076773798</v>
      </c>
      <c r="T348" s="5">
        <v>-71.03861345</v>
      </c>
    </row>
    <row r="349" spans="1:20" x14ac:dyDescent="0.3">
      <c r="A349" s="5" t="s">
        <v>1405</v>
      </c>
      <c r="B349" s="6">
        <v>15067</v>
      </c>
      <c r="C349" s="6" t="str">
        <f t="shared" si="101"/>
        <v>Active/Unavailable</v>
      </c>
      <c r="D349" s="5" t="s">
        <v>100</v>
      </c>
      <c r="E349" s="5" t="s">
        <v>1406</v>
      </c>
      <c r="F349" s="5" t="s">
        <v>713</v>
      </c>
      <c r="G349" s="5" t="str">
        <f t="shared" si="98"/>
        <v>Not Available</v>
      </c>
      <c r="H349" s="5" t="str">
        <f t="shared" si="102"/>
        <v>Not Available</v>
      </c>
      <c r="I349" s="5" t="s">
        <v>65</v>
      </c>
      <c r="J349" s="5" t="s">
        <v>3387</v>
      </c>
      <c r="K349" s="5" t="s">
        <v>3393</v>
      </c>
      <c r="L349" s="5" t="s">
        <v>23</v>
      </c>
      <c r="M349" s="5" t="s">
        <v>3526</v>
      </c>
      <c r="N349" s="5" t="s">
        <v>1407</v>
      </c>
      <c r="O349" s="5" t="s">
        <v>33</v>
      </c>
      <c r="P349" s="5" t="s">
        <v>26</v>
      </c>
      <c r="Q349" s="5" t="s">
        <v>34</v>
      </c>
      <c r="R349" s="5">
        <v>2113</v>
      </c>
      <c r="S349" s="5">
        <v>42.315766263301903</v>
      </c>
      <c r="T349" s="5">
        <v>-71.139220089999995</v>
      </c>
    </row>
    <row r="350" spans="1:20" x14ac:dyDescent="0.3">
      <c r="A350" s="5" t="s">
        <v>1408</v>
      </c>
      <c r="B350" s="6">
        <v>8260</v>
      </c>
      <c r="C350" s="6">
        <v>43225</v>
      </c>
      <c r="D350" s="5" t="s">
        <v>29</v>
      </c>
      <c r="E350" s="5" t="s">
        <v>1409</v>
      </c>
      <c r="F350" s="5" t="s">
        <v>629</v>
      </c>
      <c r="G350" s="5" t="str">
        <f t="shared" si="98"/>
        <v>Not Available</v>
      </c>
      <c r="H350" s="5" t="str">
        <f t="shared" si="102"/>
        <v>Not Available</v>
      </c>
      <c r="I350" s="5" t="s">
        <v>22</v>
      </c>
      <c r="J350" s="5" t="s">
        <v>3389</v>
      </c>
      <c r="K350" s="5" t="s">
        <v>3394</v>
      </c>
      <c r="L350" s="5" t="s">
        <v>22</v>
      </c>
      <c r="M350" s="5" t="s">
        <v>3533</v>
      </c>
      <c r="N350" s="5" t="s">
        <v>1410</v>
      </c>
      <c r="O350" s="5" t="s">
        <v>33</v>
      </c>
      <c r="P350" s="5" t="s">
        <v>26</v>
      </c>
      <c r="Q350" s="5" t="s">
        <v>34</v>
      </c>
      <c r="R350" s="5">
        <v>2121</v>
      </c>
      <c r="S350" s="5">
        <v>42.330765146848499</v>
      </c>
      <c r="T350" s="5">
        <v>-71.043957800000001</v>
      </c>
    </row>
    <row r="351" spans="1:20" x14ac:dyDescent="0.3">
      <c r="A351" s="5" t="s">
        <v>1411</v>
      </c>
      <c r="B351" s="6">
        <v>12800</v>
      </c>
      <c r="C351" s="6" t="str">
        <f t="shared" ref="C351:C359" si="103">"Active/Unavailable"</f>
        <v>Active/Unavailable</v>
      </c>
      <c r="D351" s="5" t="s">
        <v>29</v>
      </c>
      <c r="E351" s="5" t="s">
        <v>1412</v>
      </c>
      <c r="F351" s="5" t="s">
        <v>367</v>
      </c>
      <c r="G351" s="5" t="str">
        <f t="shared" si="98"/>
        <v>Not Available</v>
      </c>
      <c r="H351" s="5" t="str">
        <f t="shared" si="102"/>
        <v>Not Available</v>
      </c>
      <c r="I351" s="5" t="s">
        <v>22</v>
      </c>
      <c r="J351" s="5" t="s">
        <v>3389</v>
      </c>
      <c r="K351" s="5" t="s">
        <v>3394</v>
      </c>
      <c r="L351" s="5" t="s">
        <v>22</v>
      </c>
      <c r="M351" s="5" t="s">
        <v>3518</v>
      </c>
      <c r="N351" s="5" t="s">
        <v>1413</v>
      </c>
      <c r="O351" s="5" t="s">
        <v>33</v>
      </c>
      <c r="P351" s="5" t="s">
        <v>26</v>
      </c>
      <c r="Q351" s="5" t="s">
        <v>34</v>
      </c>
      <c r="R351" s="5">
        <v>2136</v>
      </c>
      <c r="S351" s="5">
        <v>42.331372817560201</v>
      </c>
      <c r="T351" s="5">
        <v>-71.059404319999999</v>
      </c>
    </row>
    <row r="352" spans="1:20" x14ac:dyDescent="0.3">
      <c r="A352" s="5" t="s">
        <v>1414</v>
      </c>
      <c r="B352" s="6">
        <v>26908</v>
      </c>
      <c r="C352" s="6" t="str">
        <f t="shared" si="103"/>
        <v>Active/Unavailable</v>
      </c>
      <c r="D352" s="5" t="s">
        <v>29</v>
      </c>
      <c r="E352" s="5" t="s">
        <v>441</v>
      </c>
      <c r="F352" s="5" t="s">
        <v>1415</v>
      </c>
      <c r="G352" s="5" t="str">
        <f t="shared" si="98"/>
        <v>Not Available</v>
      </c>
      <c r="H352" s="5" t="str">
        <f t="shared" si="102"/>
        <v>Not Available</v>
      </c>
      <c r="I352" s="5" t="s">
        <v>22</v>
      </c>
      <c r="J352" s="5" t="s">
        <v>3387</v>
      </c>
      <c r="K352" s="5" t="s">
        <v>3394</v>
      </c>
      <c r="L352" s="5" t="s">
        <v>22</v>
      </c>
      <c r="M352" s="5" t="s">
        <v>3426</v>
      </c>
      <c r="N352" s="5" t="s">
        <v>1416</v>
      </c>
      <c r="O352" s="5" t="s">
        <v>33</v>
      </c>
      <c r="P352" s="5" t="s">
        <v>26</v>
      </c>
      <c r="Q352" s="5" t="s">
        <v>34</v>
      </c>
      <c r="R352" s="5">
        <v>2126</v>
      </c>
      <c r="S352" s="5">
        <v>42.320233379845902</v>
      </c>
      <c r="T352" s="5">
        <v>-71.108454510000001</v>
      </c>
    </row>
    <row r="353" spans="1:20" x14ac:dyDescent="0.3">
      <c r="A353" s="5" t="s">
        <v>1417</v>
      </c>
      <c r="B353" s="6">
        <v>26479</v>
      </c>
      <c r="C353" s="6" t="str">
        <f t="shared" si="103"/>
        <v>Active/Unavailable</v>
      </c>
      <c r="D353" s="5" t="s">
        <v>18</v>
      </c>
      <c r="E353" s="5" t="s">
        <v>1418</v>
      </c>
      <c r="F353" s="5" t="s">
        <v>979</v>
      </c>
      <c r="G353" s="5" t="str">
        <f t="shared" si="98"/>
        <v>Not Available</v>
      </c>
      <c r="H353" s="5" t="s">
        <v>848</v>
      </c>
      <c r="I353" s="5" t="s">
        <v>22</v>
      </c>
      <c r="J353" s="5" t="s">
        <v>3387</v>
      </c>
      <c r="K353" s="5" t="s">
        <v>3393</v>
      </c>
      <c r="L353" s="5" t="s">
        <v>23</v>
      </c>
      <c r="M353" s="5" t="s">
        <v>3580</v>
      </c>
      <c r="N353" s="5" t="s">
        <v>1419</v>
      </c>
      <c r="O353" s="5" t="s">
        <v>33</v>
      </c>
      <c r="P353" s="5" t="s">
        <v>26</v>
      </c>
      <c r="Q353" s="5" t="s">
        <v>34</v>
      </c>
      <c r="R353" s="5">
        <v>2115</v>
      </c>
      <c r="S353" s="5">
        <v>42.353656913039501</v>
      </c>
      <c r="T353" s="5">
        <v>-71.032665159999993</v>
      </c>
    </row>
    <row r="354" spans="1:20" x14ac:dyDescent="0.3">
      <c r="A354" s="5" t="s">
        <v>1420</v>
      </c>
      <c r="B354" s="6">
        <v>33092</v>
      </c>
      <c r="C354" s="6" t="str">
        <f t="shared" si="103"/>
        <v>Active/Unavailable</v>
      </c>
      <c r="D354" s="5" t="s">
        <v>29</v>
      </c>
      <c r="E354" s="5" t="s">
        <v>1402</v>
      </c>
      <c r="F354" s="5" t="s">
        <v>45</v>
      </c>
      <c r="G354" s="5" t="str">
        <f t="shared" si="98"/>
        <v>Not Available</v>
      </c>
      <c r="H354" s="5" t="str">
        <f t="shared" ref="H354:H355" si="104">"Not Available"</f>
        <v>Not Available</v>
      </c>
      <c r="I354" s="5" t="s">
        <v>22</v>
      </c>
      <c r="J354" s="5" t="s">
        <v>3387</v>
      </c>
      <c r="K354" s="5" t="s">
        <v>3393</v>
      </c>
      <c r="L354" s="5" t="s">
        <v>22</v>
      </c>
      <c r="M354" s="5" t="s">
        <v>3436</v>
      </c>
      <c r="N354" s="5" t="s">
        <v>1421</v>
      </c>
      <c r="O354" s="5" t="s">
        <v>33</v>
      </c>
      <c r="P354" s="5" t="s">
        <v>26</v>
      </c>
      <c r="Q354" s="5" t="s">
        <v>34</v>
      </c>
      <c r="R354" s="5">
        <v>2130</v>
      </c>
      <c r="S354" s="5">
        <v>42.333137985101501</v>
      </c>
      <c r="T354" s="5">
        <v>-70.990847220000006</v>
      </c>
    </row>
    <row r="355" spans="1:20" x14ac:dyDescent="0.3">
      <c r="A355" s="5" t="s">
        <v>1422</v>
      </c>
      <c r="B355" s="6">
        <v>29214</v>
      </c>
      <c r="C355" s="6" t="str">
        <f t="shared" si="103"/>
        <v>Active/Unavailable</v>
      </c>
      <c r="D355" s="5" t="s">
        <v>100</v>
      </c>
      <c r="E355" s="5" t="s">
        <v>1423</v>
      </c>
      <c r="F355" s="5" t="s">
        <v>1165</v>
      </c>
      <c r="G355" s="5" t="str">
        <f t="shared" si="98"/>
        <v>Not Available</v>
      </c>
      <c r="H355" s="5" t="str">
        <f t="shared" si="104"/>
        <v>Not Available</v>
      </c>
      <c r="I355" s="5" t="s">
        <v>65</v>
      </c>
      <c r="J355" s="5" t="s">
        <v>3387</v>
      </c>
      <c r="K355" s="5" t="s">
        <v>3393</v>
      </c>
      <c r="L355" s="5" t="s">
        <v>23</v>
      </c>
      <c r="M355" s="5" t="s">
        <v>3403</v>
      </c>
      <c r="N355" s="5" t="s">
        <v>1424</v>
      </c>
      <c r="O355" s="5" t="s">
        <v>486</v>
      </c>
      <c r="P355" s="5" t="s">
        <v>26</v>
      </c>
      <c r="Q355" s="5" t="s">
        <v>34</v>
      </c>
      <c r="R355" s="5" t="str">
        <f>"0000"</f>
        <v>0000</v>
      </c>
      <c r="S355" s="5">
        <v>42.390457296479497</v>
      </c>
      <c r="T355" s="5">
        <v>-71.039745780000004</v>
      </c>
    </row>
    <row r="356" spans="1:20" x14ac:dyDescent="0.3">
      <c r="A356" s="5" t="s">
        <v>1425</v>
      </c>
      <c r="B356" s="6">
        <v>32282</v>
      </c>
      <c r="C356" s="6" t="str">
        <f t="shared" si="103"/>
        <v>Active/Unavailable</v>
      </c>
      <c r="D356" s="5" t="s">
        <v>18</v>
      </c>
      <c r="E356" s="5" t="s">
        <v>1426</v>
      </c>
      <c r="F356" s="5" t="s">
        <v>1427</v>
      </c>
      <c r="G356" s="5" t="str">
        <f t="shared" si="98"/>
        <v>Not Available</v>
      </c>
      <c r="H356" s="5" t="s">
        <v>523</v>
      </c>
      <c r="I356" s="5" t="s">
        <v>22</v>
      </c>
      <c r="J356" s="5" t="s">
        <v>3387</v>
      </c>
      <c r="K356" s="5" t="s">
        <v>3393</v>
      </c>
      <c r="L356" s="5" t="s">
        <v>23</v>
      </c>
      <c r="M356" s="5" t="s">
        <v>3549</v>
      </c>
      <c r="N356" s="5" t="s">
        <v>1428</v>
      </c>
      <c r="O356" s="5" t="s">
        <v>486</v>
      </c>
      <c r="P356" s="5" t="s">
        <v>26</v>
      </c>
      <c r="Q356" s="5" t="s">
        <v>34</v>
      </c>
      <c r="R356" s="5">
        <v>2152</v>
      </c>
      <c r="S356" s="5">
        <v>42.389511277821299</v>
      </c>
      <c r="T356" s="5">
        <v>-70.969521749999998</v>
      </c>
    </row>
    <row r="357" spans="1:20" x14ac:dyDescent="0.3">
      <c r="A357" s="5" t="s">
        <v>1429</v>
      </c>
      <c r="B357" s="6">
        <v>21833</v>
      </c>
      <c r="C357" s="6" t="str">
        <f t="shared" si="103"/>
        <v>Active/Unavailable</v>
      </c>
      <c r="D357" s="5" t="s">
        <v>18</v>
      </c>
      <c r="E357" s="5" t="s">
        <v>1430</v>
      </c>
      <c r="F357" s="5" t="s">
        <v>1431</v>
      </c>
      <c r="G357" s="5" t="str">
        <f t="shared" si="98"/>
        <v>Not Available</v>
      </c>
      <c r="H357" s="5" t="s">
        <v>1432</v>
      </c>
      <c r="I357" s="5" t="s">
        <v>22</v>
      </c>
      <c r="J357" s="5" t="s">
        <v>3387</v>
      </c>
      <c r="K357" s="5" t="s">
        <v>3393</v>
      </c>
      <c r="L357" s="5" t="s">
        <v>23</v>
      </c>
      <c r="M357" s="5" t="s">
        <v>3581</v>
      </c>
      <c r="N357" s="5" t="s">
        <v>1433</v>
      </c>
      <c r="O357" s="5" t="s">
        <v>88</v>
      </c>
      <c r="P357" s="5" t="s">
        <v>26</v>
      </c>
      <c r="Q357" s="5" t="s">
        <v>57</v>
      </c>
      <c r="R357" s="5">
        <v>2143</v>
      </c>
      <c r="S357" s="5">
        <v>42.3684115617666</v>
      </c>
      <c r="T357" s="5">
        <v>-71.080423469999999</v>
      </c>
    </row>
    <row r="358" spans="1:20" x14ac:dyDescent="0.3">
      <c r="A358" s="5" t="s">
        <v>1434</v>
      </c>
      <c r="B358" s="6">
        <v>27860</v>
      </c>
      <c r="C358" s="6" t="str">
        <f t="shared" si="103"/>
        <v>Active/Unavailable</v>
      </c>
      <c r="D358" s="5" t="s">
        <v>29</v>
      </c>
      <c r="E358" s="5" t="s">
        <v>267</v>
      </c>
      <c r="F358" s="5" t="s">
        <v>1435</v>
      </c>
      <c r="G358" s="5" t="str">
        <f t="shared" si="98"/>
        <v>Not Available</v>
      </c>
      <c r="H358" s="5" t="str">
        <f t="shared" ref="H358:H359" si="105">"Not Available"</f>
        <v>Not Available</v>
      </c>
      <c r="I358" s="5" t="s">
        <v>22</v>
      </c>
      <c r="J358" s="5" t="s">
        <v>3389</v>
      </c>
      <c r="K358" s="5" t="s">
        <v>3393</v>
      </c>
      <c r="L358" s="5" t="s">
        <v>22</v>
      </c>
      <c r="M358" s="5" t="s">
        <v>3452</v>
      </c>
      <c r="N358" s="5" t="s">
        <v>1436</v>
      </c>
      <c r="O358" s="5" t="s">
        <v>33</v>
      </c>
      <c r="P358" s="5" t="s">
        <v>26</v>
      </c>
      <c r="Q358" s="5" t="s">
        <v>34</v>
      </c>
      <c r="R358" s="5">
        <v>2129</v>
      </c>
      <c r="S358" s="5">
        <v>42.375755271463902</v>
      </c>
      <c r="T358" s="5">
        <v>-71.04755505</v>
      </c>
    </row>
    <row r="359" spans="1:20" x14ac:dyDescent="0.3">
      <c r="A359" s="5" t="s">
        <v>1437</v>
      </c>
      <c r="B359" s="6">
        <v>31910</v>
      </c>
      <c r="C359" s="6" t="str">
        <f t="shared" si="103"/>
        <v>Active/Unavailable</v>
      </c>
      <c r="D359" s="5" t="s">
        <v>29</v>
      </c>
      <c r="E359" s="5" t="s">
        <v>1438</v>
      </c>
      <c r="F359" s="5" t="s">
        <v>1439</v>
      </c>
      <c r="G359" s="5" t="str">
        <f t="shared" si="98"/>
        <v>Not Available</v>
      </c>
      <c r="H359" s="5" t="str">
        <f t="shared" si="105"/>
        <v>Not Available</v>
      </c>
      <c r="I359" s="5" t="s">
        <v>65</v>
      </c>
      <c r="J359" s="5" t="s">
        <v>3387</v>
      </c>
      <c r="K359" s="5" t="s">
        <v>3393</v>
      </c>
      <c r="L359" s="5" t="s">
        <v>22</v>
      </c>
      <c r="M359" s="5" t="s">
        <v>3400</v>
      </c>
      <c r="N359" s="5" t="s">
        <v>1440</v>
      </c>
      <c r="O359" s="5" t="s">
        <v>33</v>
      </c>
      <c r="P359" s="5" t="s">
        <v>26</v>
      </c>
      <c r="Q359" s="5" t="s">
        <v>34</v>
      </c>
      <c r="R359" s="5">
        <v>2131</v>
      </c>
      <c r="S359" s="5">
        <v>42.368517522117799</v>
      </c>
      <c r="T359" s="5">
        <v>-71.034767950000003</v>
      </c>
    </row>
    <row r="360" spans="1:20" x14ac:dyDescent="0.3">
      <c r="A360" s="5" t="s">
        <v>1441</v>
      </c>
      <c r="B360" s="6">
        <v>9824</v>
      </c>
      <c r="C360" s="6">
        <v>41272</v>
      </c>
      <c r="D360" s="5" t="s">
        <v>18</v>
      </c>
      <c r="E360" s="5" t="s">
        <v>1442</v>
      </c>
      <c r="F360" s="5" t="s">
        <v>1443</v>
      </c>
      <c r="G360" s="5" t="str">
        <f t="shared" si="98"/>
        <v>Not Available</v>
      </c>
      <c r="H360" s="5" t="s">
        <v>1444</v>
      </c>
      <c r="I360" s="5" t="s">
        <v>22</v>
      </c>
      <c r="J360" s="5" t="s">
        <v>3387</v>
      </c>
      <c r="K360" s="5" t="s">
        <v>3393</v>
      </c>
      <c r="L360" s="5" t="s">
        <v>23</v>
      </c>
      <c r="M360" s="5" t="s">
        <v>3570</v>
      </c>
      <c r="N360" s="5" t="s">
        <v>1445</v>
      </c>
      <c r="O360" s="5" t="s">
        <v>33</v>
      </c>
      <c r="P360" s="5" t="s">
        <v>26</v>
      </c>
      <c r="Q360" s="5" t="s">
        <v>34</v>
      </c>
      <c r="R360" s="5">
        <v>2115</v>
      </c>
      <c r="S360" s="5">
        <v>42.359893465127499</v>
      </c>
      <c r="T360" s="5">
        <v>-71.15515723</v>
      </c>
    </row>
    <row r="361" spans="1:20" x14ac:dyDescent="0.3">
      <c r="A361" s="5" t="s">
        <v>1446</v>
      </c>
      <c r="B361" s="6">
        <v>10891</v>
      </c>
      <c r="C361" s="6" t="str">
        <f t="shared" ref="C361:C363" si="106">"Active/Unavailable"</f>
        <v>Active/Unavailable</v>
      </c>
      <c r="D361" s="5" t="s">
        <v>18</v>
      </c>
      <c r="E361" s="5" t="s">
        <v>1447</v>
      </c>
      <c r="F361" s="5" t="s">
        <v>1448</v>
      </c>
      <c r="G361" s="5" t="str">
        <f t="shared" si="98"/>
        <v>Not Available</v>
      </c>
      <c r="H361" s="5" t="s">
        <v>1327</v>
      </c>
      <c r="I361" s="5" t="s">
        <v>22</v>
      </c>
      <c r="J361" s="5" t="s">
        <v>3387</v>
      </c>
      <c r="K361" s="5" t="s">
        <v>3393</v>
      </c>
      <c r="L361" s="5" t="s">
        <v>23</v>
      </c>
      <c r="M361" s="5" t="s">
        <v>3435</v>
      </c>
      <c r="N361" s="5" t="s">
        <v>1449</v>
      </c>
      <c r="O361" s="5" t="s">
        <v>33</v>
      </c>
      <c r="P361" s="5" t="s">
        <v>26</v>
      </c>
      <c r="Q361" s="5" t="s">
        <v>34</v>
      </c>
      <c r="R361" s="5">
        <v>2136</v>
      </c>
      <c r="S361" s="5">
        <v>42.390345028593003</v>
      </c>
      <c r="T361" s="5">
        <v>-71.034095100000002</v>
      </c>
    </row>
    <row r="362" spans="1:20" x14ac:dyDescent="0.3">
      <c r="A362" s="5" t="s">
        <v>1450</v>
      </c>
      <c r="B362" s="6">
        <v>16390</v>
      </c>
      <c r="C362" s="6" t="str">
        <f t="shared" si="106"/>
        <v>Active/Unavailable</v>
      </c>
      <c r="D362" s="5" t="s">
        <v>29</v>
      </c>
      <c r="E362" s="5" t="s">
        <v>1451</v>
      </c>
      <c r="F362" s="5" t="s">
        <v>821</v>
      </c>
      <c r="G362" s="5" t="str">
        <f t="shared" si="98"/>
        <v>Not Available</v>
      </c>
      <c r="H362" s="5" t="str">
        <f t="shared" ref="H362:H363" si="107">"Not Available"</f>
        <v>Not Available</v>
      </c>
      <c r="I362" s="5" t="s">
        <v>65</v>
      </c>
      <c r="J362" s="5" t="s">
        <v>3387</v>
      </c>
      <c r="K362" s="5" t="s">
        <v>3394</v>
      </c>
      <c r="L362" s="5" t="s">
        <v>22</v>
      </c>
      <c r="M362" s="5" t="s">
        <v>3458</v>
      </c>
      <c r="N362" s="5" t="s">
        <v>1452</v>
      </c>
      <c r="O362" s="5" t="s">
        <v>33</v>
      </c>
      <c r="P362" s="5" t="s">
        <v>26</v>
      </c>
      <c r="Q362" s="5" t="s">
        <v>34</v>
      </c>
      <c r="R362" s="5">
        <v>2215</v>
      </c>
      <c r="S362" s="5">
        <v>42.305499179126898</v>
      </c>
      <c r="T362" s="5">
        <v>-71.056933049999998</v>
      </c>
    </row>
    <row r="363" spans="1:20" x14ac:dyDescent="0.3">
      <c r="A363" s="5" t="s">
        <v>1453</v>
      </c>
      <c r="B363" s="6">
        <v>8404</v>
      </c>
      <c r="C363" s="6" t="str">
        <f t="shared" si="106"/>
        <v>Active/Unavailable</v>
      </c>
      <c r="D363" s="5" t="s">
        <v>29</v>
      </c>
      <c r="E363" s="5" t="s">
        <v>1454</v>
      </c>
      <c r="F363" s="5" t="s">
        <v>1455</v>
      </c>
      <c r="G363" s="5" t="str">
        <f t="shared" si="98"/>
        <v>Not Available</v>
      </c>
      <c r="H363" s="5" t="str">
        <f t="shared" si="107"/>
        <v>Not Available</v>
      </c>
      <c r="I363" s="5" t="s">
        <v>22</v>
      </c>
      <c r="J363" s="5" t="s">
        <v>3387</v>
      </c>
      <c r="K363" s="5" t="s">
        <v>3394</v>
      </c>
      <c r="L363" s="5" t="s">
        <v>22</v>
      </c>
      <c r="M363" s="5" t="s">
        <v>3510</v>
      </c>
      <c r="N363" s="5" t="s">
        <v>1456</v>
      </c>
      <c r="O363" s="5" t="s">
        <v>172</v>
      </c>
      <c r="P363" s="5" t="s">
        <v>26</v>
      </c>
      <c r="Q363" s="5" t="s">
        <v>34</v>
      </c>
      <c r="R363" s="5" t="str">
        <f>"0000"</f>
        <v>0000</v>
      </c>
      <c r="S363" s="5">
        <v>42.365473757958497</v>
      </c>
      <c r="T363" s="5">
        <v>-71.070304449999995</v>
      </c>
    </row>
    <row r="364" spans="1:20" x14ac:dyDescent="0.3">
      <c r="A364" s="5" t="s">
        <v>1457</v>
      </c>
      <c r="B364" s="6">
        <v>13576</v>
      </c>
      <c r="C364" s="6">
        <v>43368</v>
      </c>
      <c r="D364" s="5" t="s">
        <v>18</v>
      </c>
      <c r="E364" s="5" t="s">
        <v>1458</v>
      </c>
      <c r="F364" s="5" t="s">
        <v>1459</v>
      </c>
      <c r="G364" s="5" t="str">
        <f t="shared" si="98"/>
        <v>Not Available</v>
      </c>
      <c r="H364" s="5" t="s">
        <v>1460</v>
      </c>
      <c r="I364" s="5" t="s">
        <v>22</v>
      </c>
      <c r="J364" s="5" t="s">
        <v>3387</v>
      </c>
      <c r="K364" s="5" t="s">
        <v>3393</v>
      </c>
      <c r="L364" s="5" t="s">
        <v>23</v>
      </c>
      <c r="M364" s="5" t="s">
        <v>3582</v>
      </c>
      <c r="N364" s="5" t="s">
        <v>1461</v>
      </c>
      <c r="O364" s="5" t="s">
        <v>209</v>
      </c>
      <c r="P364" s="5" t="s">
        <v>26</v>
      </c>
      <c r="Q364" s="5" t="s">
        <v>27</v>
      </c>
      <c r="R364" s="5">
        <v>2188</v>
      </c>
      <c r="S364" s="5">
        <v>42.2374141155152</v>
      </c>
      <c r="T364" s="5">
        <v>-70.91625019</v>
      </c>
    </row>
    <row r="365" spans="1:20" x14ac:dyDescent="0.3">
      <c r="A365" s="5" t="s">
        <v>1462</v>
      </c>
      <c r="B365" s="6">
        <v>9109</v>
      </c>
      <c r="C365" s="6" t="str">
        <f t="shared" ref="C365:C383" si="108">"Active/Unavailable"</f>
        <v>Active/Unavailable</v>
      </c>
      <c r="D365" s="5" t="s">
        <v>29</v>
      </c>
      <c r="E365" s="5" t="s">
        <v>1463</v>
      </c>
      <c r="F365" s="5" t="s">
        <v>432</v>
      </c>
      <c r="G365" s="5" t="str">
        <f t="shared" si="98"/>
        <v>Not Available</v>
      </c>
      <c r="H365" s="5" t="str">
        <f t="shared" ref="H365:H366" si="109">"Not Available"</f>
        <v>Not Available</v>
      </c>
      <c r="I365" s="5" t="s">
        <v>22</v>
      </c>
      <c r="J365" s="5" t="s">
        <v>3388</v>
      </c>
      <c r="K365" s="5" t="s">
        <v>3393</v>
      </c>
      <c r="L365" s="5" t="s">
        <v>22</v>
      </c>
      <c r="M365" s="5" t="s">
        <v>3509</v>
      </c>
      <c r="N365" s="5" t="s">
        <v>1464</v>
      </c>
      <c r="O365" s="5" t="s">
        <v>56</v>
      </c>
      <c r="P365" s="5" t="s">
        <v>26</v>
      </c>
      <c r="Q365" s="5" t="s">
        <v>57</v>
      </c>
      <c r="R365" s="5">
        <v>2472</v>
      </c>
      <c r="S365" s="5">
        <v>42.318548143510199</v>
      </c>
      <c r="T365" s="5">
        <v>-71.098714229999999</v>
      </c>
    </row>
    <row r="366" spans="1:20" x14ac:dyDescent="0.3">
      <c r="A366" s="5" t="s">
        <v>1465</v>
      </c>
      <c r="B366" s="6">
        <v>16675</v>
      </c>
      <c r="C366" s="6" t="str">
        <f t="shared" si="108"/>
        <v>Active/Unavailable</v>
      </c>
      <c r="D366" s="5" t="s">
        <v>100</v>
      </c>
      <c r="E366" s="5" t="s">
        <v>1466</v>
      </c>
      <c r="F366" s="5" t="s">
        <v>361</v>
      </c>
      <c r="G366" s="5" t="str">
        <f t="shared" si="98"/>
        <v>Not Available</v>
      </c>
      <c r="H366" s="5" t="str">
        <f t="shared" si="109"/>
        <v>Not Available</v>
      </c>
      <c r="I366" s="5" t="s">
        <v>65</v>
      </c>
      <c r="J366" s="5" t="s">
        <v>3388</v>
      </c>
      <c r="K366" s="5" t="s">
        <v>3393</v>
      </c>
      <c r="L366" s="5" t="s">
        <v>23</v>
      </c>
      <c r="M366" s="5" t="s">
        <v>3451</v>
      </c>
      <c r="N366" s="5" t="s">
        <v>1467</v>
      </c>
      <c r="O366" s="5" t="s">
        <v>33</v>
      </c>
      <c r="P366" s="5" t="s">
        <v>26</v>
      </c>
      <c r="Q366" s="5" t="s">
        <v>34</v>
      </c>
      <c r="R366" s="5">
        <v>2110</v>
      </c>
      <c r="S366" s="5">
        <v>42.356353421072001</v>
      </c>
      <c r="T366" s="5">
        <v>-71.143692779999995</v>
      </c>
    </row>
    <row r="367" spans="1:20" x14ac:dyDescent="0.3">
      <c r="A367" s="5" t="s">
        <v>1468</v>
      </c>
      <c r="B367" s="6">
        <v>25096</v>
      </c>
      <c r="C367" s="6" t="str">
        <f t="shared" si="108"/>
        <v>Active/Unavailable</v>
      </c>
      <c r="D367" s="5" t="s">
        <v>18</v>
      </c>
      <c r="E367" s="5" t="s">
        <v>1469</v>
      </c>
      <c r="F367" s="5" t="s">
        <v>1292</v>
      </c>
      <c r="G367" s="5" t="str">
        <f t="shared" si="98"/>
        <v>Not Available</v>
      </c>
      <c r="H367" s="5" t="s">
        <v>1470</v>
      </c>
      <c r="I367" s="5" t="s">
        <v>22</v>
      </c>
      <c r="J367" s="5" t="s">
        <v>3389</v>
      </c>
      <c r="K367" s="5" t="s">
        <v>3393</v>
      </c>
      <c r="L367" s="5" t="s">
        <v>23</v>
      </c>
      <c r="M367" s="5" t="s">
        <v>3400</v>
      </c>
      <c r="N367" s="5" t="s">
        <v>1471</v>
      </c>
      <c r="O367" s="5" t="s">
        <v>316</v>
      </c>
      <c r="P367" s="5" t="s">
        <v>26</v>
      </c>
      <c r="Q367" s="5" t="s">
        <v>317</v>
      </c>
      <c r="R367" s="5">
        <v>2043</v>
      </c>
      <c r="S367" s="5">
        <v>42.223950283839997</v>
      </c>
      <c r="T367" s="5">
        <v>-70.854180229999997</v>
      </c>
    </row>
    <row r="368" spans="1:20" x14ac:dyDescent="0.3">
      <c r="A368" s="5" t="s">
        <v>1472</v>
      </c>
      <c r="B368" s="6">
        <v>8820</v>
      </c>
      <c r="C368" s="6" t="str">
        <f t="shared" si="108"/>
        <v>Active/Unavailable</v>
      </c>
      <c r="D368" s="5" t="s">
        <v>18</v>
      </c>
      <c r="E368" s="5" t="s">
        <v>1473</v>
      </c>
      <c r="F368" s="5" t="s">
        <v>1339</v>
      </c>
      <c r="G368" s="5" t="str">
        <f t="shared" si="98"/>
        <v>Not Available</v>
      </c>
      <c r="H368" s="5" t="s">
        <v>1474</v>
      </c>
      <c r="I368" s="5" t="s">
        <v>22</v>
      </c>
      <c r="J368" s="5" t="s">
        <v>3387</v>
      </c>
      <c r="K368" s="5" t="s">
        <v>3393</v>
      </c>
      <c r="L368" s="5" t="s">
        <v>23</v>
      </c>
      <c r="M368" s="5" t="s">
        <v>3583</v>
      </c>
      <c r="N368" s="5" t="s">
        <v>1475</v>
      </c>
      <c r="O368" s="5" t="s">
        <v>33</v>
      </c>
      <c r="P368" s="5" t="s">
        <v>26</v>
      </c>
      <c r="Q368" s="5" t="s">
        <v>34</v>
      </c>
      <c r="R368" s="5">
        <v>2124</v>
      </c>
      <c r="S368" s="5">
        <v>42.2894049755457</v>
      </c>
      <c r="T368" s="5">
        <v>-71.018161329999998</v>
      </c>
    </row>
    <row r="369" spans="1:20" x14ac:dyDescent="0.3">
      <c r="A369" s="5" t="s">
        <v>1476</v>
      </c>
      <c r="B369" s="6">
        <v>27572</v>
      </c>
      <c r="C369" s="6" t="str">
        <f t="shared" si="108"/>
        <v>Active/Unavailable</v>
      </c>
      <c r="D369" s="5" t="s">
        <v>18</v>
      </c>
      <c r="E369" s="5" t="s">
        <v>1477</v>
      </c>
      <c r="F369" s="5" t="s">
        <v>1478</v>
      </c>
      <c r="G369" s="5" t="s">
        <v>398</v>
      </c>
      <c r="H369" s="5" t="s">
        <v>1479</v>
      </c>
      <c r="I369" s="5" t="s">
        <v>22</v>
      </c>
      <c r="J369" s="5" t="s">
        <v>3389</v>
      </c>
      <c r="K369" s="5" t="s">
        <v>3394</v>
      </c>
      <c r="L369" s="5" t="s">
        <v>23</v>
      </c>
      <c r="M369" s="5" t="s">
        <v>3584</v>
      </c>
      <c r="N369" s="5" t="s">
        <v>1480</v>
      </c>
      <c r="O369" s="5" t="s">
        <v>33</v>
      </c>
      <c r="P369" s="5" t="s">
        <v>26</v>
      </c>
      <c r="Q369" s="5" t="s">
        <v>34</v>
      </c>
      <c r="R369" s="5">
        <v>2109</v>
      </c>
      <c r="S369" s="5">
        <v>42.311986089999998</v>
      </c>
      <c r="T369" s="5">
        <v>-71.063416419999996</v>
      </c>
    </row>
    <row r="370" spans="1:20" x14ac:dyDescent="0.3">
      <c r="A370" s="5" t="s">
        <v>1481</v>
      </c>
      <c r="B370" s="6">
        <v>33453</v>
      </c>
      <c r="C370" s="6" t="str">
        <f t="shared" si="108"/>
        <v>Active/Unavailable</v>
      </c>
      <c r="D370" s="5" t="s">
        <v>18</v>
      </c>
      <c r="E370" s="5" t="s">
        <v>1338</v>
      </c>
      <c r="F370" s="5" t="s">
        <v>1482</v>
      </c>
      <c r="G370" s="5" t="str">
        <f t="shared" ref="G370:G393" si="110">"Not Available"</f>
        <v>Not Available</v>
      </c>
      <c r="H370" s="5" t="s">
        <v>1483</v>
      </c>
      <c r="I370" s="5" t="s">
        <v>22</v>
      </c>
      <c r="J370" s="5" t="s">
        <v>3389</v>
      </c>
      <c r="K370" s="5" t="s">
        <v>3394</v>
      </c>
      <c r="L370" s="5" t="s">
        <v>23</v>
      </c>
      <c r="M370" s="5" t="s">
        <v>3585</v>
      </c>
      <c r="N370" s="5" t="s">
        <v>1484</v>
      </c>
      <c r="O370" s="5" t="s">
        <v>33</v>
      </c>
      <c r="P370" s="5" t="s">
        <v>26</v>
      </c>
      <c r="Q370" s="5" t="s">
        <v>34</v>
      </c>
      <c r="R370" s="5">
        <v>2114</v>
      </c>
      <c r="S370" s="5">
        <v>42.379576790410702</v>
      </c>
      <c r="T370" s="5">
        <v>-71.047470059999995</v>
      </c>
    </row>
    <row r="371" spans="1:20" x14ac:dyDescent="0.3">
      <c r="A371" s="5" t="s">
        <v>1485</v>
      </c>
      <c r="B371" s="6">
        <v>21022</v>
      </c>
      <c r="C371" s="6" t="str">
        <f t="shared" si="108"/>
        <v>Active/Unavailable</v>
      </c>
      <c r="D371" s="5" t="s">
        <v>29</v>
      </c>
      <c r="E371" s="5" t="s">
        <v>475</v>
      </c>
      <c r="F371" s="5" t="s">
        <v>460</v>
      </c>
      <c r="G371" s="5" t="str">
        <f t="shared" si="110"/>
        <v>Not Available</v>
      </c>
      <c r="H371" s="5" t="str">
        <f t="shared" ref="H371:H373" si="111">"Not Available"</f>
        <v>Not Available</v>
      </c>
      <c r="I371" s="5" t="s">
        <v>22</v>
      </c>
      <c r="J371" s="5" t="s">
        <v>3387</v>
      </c>
      <c r="K371" s="5" t="s">
        <v>3393</v>
      </c>
      <c r="L371" s="5" t="s">
        <v>22</v>
      </c>
      <c r="M371" s="5" t="s">
        <v>3576</v>
      </c>
      <c r="N371" s="5" t="s">
        <v>1486</v>
      </c>
      <c r="O371" s="5" t="s">
        <v>486</v>
      </c>
      <c r="P371" s="5" t="s">
        <v>26</v>
      </c>
      <c r="Q371" s="5" t="s">
        <v>34</v>
      </c>
      <c r="R371" s="5">
        <v>2128</v>
      </c>
      <c r="S371" s="5">
        <v>42.364259632016697</v>
      </c>
      <c r="T371" s="5">
        <v>-70.972516420000005</v>
      </c>
    </row>
    <row r="372" spans="1:20" x14ac:dyDescent="0.3">
      <c r="A372" s="5" t="s">
        <v>1487</v>
      </c>
      <c r="B372" s="6">
        <v>32076</v>
      </c>
      <c r="C372" s="6" t="str">
        <f t="shared" si="108"/>
        <v>Active/Unavailable</v>
      </c>
      <c r="D372" s="5" t="s">
        <v>100</v>
      </c>
      <c r="E372" s="5" t="s">
        <v>1488</v>
      </c>
      <c r="F372" s="5" t="s">
        <v>1181</v>
      </c>
      <c r="G372" s="5" t="str">
        <f t="shared" si="110"/>
        <v>Not Available</v>
      </c>
      <c r="H372" s="5" t="str">
        <f t="shared" si="111"/>
        <v>Not Available</v>
      </c>
      <c r="I372" s="5" t="s">
        <v>65</v>
      </c>
      <c r="J372" s="5" t="s">
        <v>3387</v>
      </c>
      <c r="K372" s="5" t="s">
        <v>3393</v>
      </c>
      <c r="L372" s="5" t="s">
        <v>23</v>
      </c>
      <c r="M372" s="5" t="s">
        <v>3586</v>
      </c>
      <c r="N372" s="5" t="s">
        <v>1489</v>
      </c>
      <c r="O372" s="5" t="s">
        <v>33</v>
      </c>
      <c r="P372" s="5" t="s">
        <v>26</v>
      </c>
      <c r="Q372" s="5" t="s">
        <v>34</v>
      </c>
      <c r="R372" s="5">
        <v>2132</v>
      </c>
      <c r="S372" s="5">
        <v>42.37237792586</v>
      </c>
      <c r="T372" s="5">
        <v>-71.044720389999995</v>
      </c>
    </row>
    <row r="373" spans="1:20" x14ac:dyDescent="0.3">
      <c r="A373" s="5" t="s">
        <v>1490</v>
      </c>
      <c r="B373" s="6">
        <v>29120</v>
      </c>
      <c r="C373" s="6" t="str">
        <f t="shared" si="108"/>
        <v>Active/Unavailable</v>
      </c>
      <c r="D373" s="5" t="s">
        <v>29</v>
      </c>
      <c r="E373" s="5" t="s">
        <v>1491</v>
      </c>
      <c r="F373" s="5" t="s">
        <v>328</v>
      </c>
      <c r="G373" s="5" t="str">
        <f t="shared" si="110"/>
        <v>Not Available</v>
      </c>
      <c r="H373" s="5" t="str">
        <f t="shared" si="111"/>
        <v>Not Available</v>
      </c>
      <c r="I373" s="5" t="s">
        <v>22</v>
      </c>
      <c r="J373" s="5" t="s">
        <v>3387</v>
      </c>
      <c r="K373" s="5" t="s">
        <v>3393</v>
      </c>
      <c r="L373" s="5" t="s">
        <v>22</v>
      </c>
      <c r="M373" s="5" t="s">
        <v>3491</v>
      </c>
      <c r="N373" s="5" t="s">
        <v>1492</v>
      </c>
      <c r="O373" s="5" t="s">
        <v>172</v>
      </c>
      <c r="P373" s="5" t="s">
        <v>26</v>
      </c>
      <c r="Q373" s="5" t="s">
        <v>34</v>
      </c>
      <c r="R373" s="5">
        <v>2150</v>
      </c>
      <c r="S373" s="5">
        <v>42.385495125460402</v>
      </c>
      <c r="T373" s="5">
        <v>-71.048464640000006</v>
      </c>
    </row>
    <row r="374" spans="1:20" x14ac:dyDescent="0.3">
      <c r="A374" s="5" t="s">
        <v>1493</v>
      </c>
      <c r="B374" s="6">
        <v>27049</v>
      </c>
      <c r="C374" s="6" t="str">
        <f t="shared" si="108"/>
        <v>Active/Unavailable</v>
      </c>
      <c r="D374" s="5" t="s">
        <v>18</v>
      </c>
      <c r="E374" s="5" t="s">
        <v>1494</v>
      </c>
      <c r="F374" s="5" t="s">
        <v>1253</v>
      </c>
      <c r="G374" s="5" t="str">
        <f t="shared" si="110"/>
        <v>Not Available</v>
      </c>
      <c r="H374" s="5" t="s">
        <v>143</v>
      </c>
      <c r="I374" s="5" t="s">
        <v>22</v>
      </c>
      <c r="J374" s="5" t="s">
        <v>3389</v>
      </c>
      <c r="K374" s="5" t="s">
        <v>3393</v>
      </c>
      <c r="L374" s="5" t="s">
        <v>23</v>
      </c>
      <c r="M374" s="5" t="s">
        <v>3400</v>
      </c>
      <c r="N374" s="5" t="s">
        <v>1495</v>
      </c>
      <c r="O374" s="5" t="s">
        <v>33</v>
      </c>
      <c r="P374" s="5" t="s">
        <v>26</v>
      </c>
      <c r="Q374" s="5" t="s">
        <v>34</v>
      </c>
      <c r="R374" s="5">
        <v>2125</v>
      </c>
      <c r="S374" s="5">
        <v>42.307713999999997</v>
      </c>
      <c r="T374" s="5">
        <v>-71.014314670000005</v>
      </c>
    </row>
    <row r="375" spans="1:20" x14ac:dyDescent="0.3">
      <c r="A375" s="5" t="s">
        <v>1496</v>
      </c>
      <c r="B375" s="6">
        <v>31524</v>
      </c>
      <c r="C375" s="6" t="str">
        <f t="shared" si="108"/>
        <v>Active/Unavailable</v>
      </c>
      <c r="D375" s="5" t="s">
        <v>18</v>
      </c>
      <c r="E375" s="5" t="s">
        <v>1497</v>
      </c>
      <c r="F375" s="5" t="s">
        <v>309</v>
      </c>
      <c r="G375" s="5" t="str">
        <f t="shared" si="110"/>
        <v>Not Available</v>
      </c>
      <c r="H375" s="5" t="s">
        <v>1498</v>
      </c>
      <c r="I375" s="5" t="s">
        <v>22</v>
      </c>
      <c r="J375" s="5" t="s">
        <v>3388</v>
      </c>
      <c r="K375" s="5" t="s">
        <v>3393</v>
      </c>
      <c r="L375" s="5" t="s">
        <v>23</v>
      </c>
      <c r="M375" s="5" t="s">
        <v>3556</v>
      </c>
      <c r="N375" s="5" t="s">
        <v>1499</v>
      </c>
      <c r="O375" s="5" t="s">
        <v>33</v>
      </c>
      <c r="P375" s="5" t="s">
        <v>26</v>
      </c>
      <c r="Q375" s="5" t="s">
        <v>34</v>
      </c>
      <c r="R375" s="5">
        <v>2108</v>
      </c>
      <c r="S375" s="5">
        <v>42.364268276211</v>
      </c>
      <c r="T375" s="5">
        <v>-70.928429649999998</v>
      </c>
    </row>
    <row r="376" spans="1:20" x14ac:dyDescent="0.3">
      <c r="A376" s="5" t="s">
        <v>1500</v>
      </c>
      <c r="B376" s="6">
        <v>12383</v>
      </c>
      <c r="C376" s="6" t="str">
        <f t="shared" si="108"/>
        <v>Active/Unavailable</v>
      </c>
      <c r="D376" s="5" t="s">
        <v>100</v>
      </c>
      <c r="E376" s="5" t="s">
        <v>1501</v>
      </c>
      <c r="F376" s="5" t="s">
        <v>1386</v>
      </c>
      <c r="G376" s="5" t="str">
        <f t="shared" si="110"/>
        <v>Not Available</v>
      </c>
      <c r="H376" s="5" t="str">
        <f>"Not Available"</f>
        <v>Not Available</v>
      </c>
      <c r="I376" s="5" t="s">
        <v>65</v>
      </c>
      <c r="J376" s="5" t="s">
        <v>3389</v>
      </c>
      <c r="K376" s="5" t="s">
        <v>3393</v>
      </c>
      <c r="L376" s="5" t="s">
        <v>23</v>
      </c>
      <c r="M376" s="5" t="s">
        <v>3526</v>
      </c>
      <c r="N376" s="5" t="s">
        <v>1502</v>
      </c>
      <c r="O376" s="5" t="s">
        <v>354</v>
      </c>
      <c r="P376" s="5" t="s">
        <v>26</v>
      </c>
      <c r="Q376" s="5" t="s">
        <v>57</v>
      </c>
      <c r="R376" s="5">
        <v>2466</v>
      </c>
      <c r="S376" s="5">
        <v>42.323402122436299</v>
      </c>
      <c r="T376" s="5">
        <v>-71.159259359999993</v>
      </c>
    </row>
    <row r="377" spans="1:20" x14ac:dyDescent="0.3">
      <c r="A377" s="5" t="s">
        <v>1503</v>
      </c>
      <c r="B377" s="6">
        <v>16327</v>
      </c>
      <c r="C377" s="6" t="str">
        <f t="shared" si="108"/>
        <v>Active/Unavailable</v>
      </c>
      <c r="D377" s="5" t="s">
        <v>18</v>
      </c>
      <c r="E377" s="5" t="s">
        <v>1504</v>
      </c>
      <c r="F377" s="5" t="s">
        <v>3368</v>
      </c>
      <c r="G377" s="5" t="str">
        <f t="shared" si="110"/>
        <v>Not Available</v>
      </c>
      <c r="H377" s="5" t="s">
        <v>1505</v>
      </c>
      <c r="I377" s="5" t="s">
        <v>22</v>
      </c>
      <c r="J377" s="5" t="s">
        <v>3387</v>
      </c>
      <c r="K377" s="5" t="s">
        <v>3394</v>
      </c>
      <c r="L377" s="5" t="s">
        <v>23</v>
      </c>
      <c r="M377" s="5" t="s">
        <v>3426</v>
      </c>
      <c r="N377" s="5" t="s">
        <v>1506</v>
      </c>
      <c r="O377" s="5" t="s">
        <v>33</v>
      </c>
      <c r="P377" s="5" t="s">
        <v>26</v>
      </c>
      <c r="Q377" s="5" t="s">
        <v>34</v>
      </c>
      <c r="R377" s="5">
        <v>2125</v>
      </c>
      <c r="S377" s="5">
        <v>42.335315894643898</v>
      </c>
      <c r="T377" s="5">
        <v>-71.07105181</v>
      </c>
    </row>
    <row r="378" spans="1:20" x14ac:dyDescent="0.3">
      <c r="A378" s="5" t="s">
        <v>1507</v>
      </c>
      <c r="B378" s="6">
        <v>10957</v>
      </c>
      <c r="C378" s="6" t="str">
        <f t="shared" si="108"/>
        <v>Active/Unavailable</v>
      </c>
      <c r="D378" s="5" t="s">
        <v>29</v>
      </c>
      <c r="E378" s="5" t="s">
        <v>1508</v>
      </c>
      <c r="F378" s="5" t="s">
        <v>1509</v>
      </c>
      <c r="G378" s="5" t="str">
        <f t="shared" si="110"/>
        <v>Not Available</v>
      </c>
      <c r="H378" s="5" t="str">
        <f t="shared" ref="H378:H382" si="112">"Not Available"</f>
        <v>Not Available</v>
      </c>
      <c r="I378" s="5" t="s">
        <v>22</v>
      </c>
      <c r="J378" s="5" t="s">
        <v>3387</v>
      </c>
      <c r="K378" s="5" t="s">
        <v>3393</v>
      </c>
      <c r="L378" s="5" t="s">
        <v>22</v>
      </c>
      <c r="M378" s="5" t="s">
        <v>3587</v>
      </c>
      <c r="N378" s="5" t="s">
        <v>1510</v>
      </c>
      <c r="O378" s="5" t="s">
        <v>33</v>
      </c>
      <c r="P378" s="5" t="s">
        <v>26</v>
      </c>
      <c r="Q378" s="5" t="s">
        <v>34</v>
      </c>
      <c r="R378" s="5">
        <v>2127</v>
      </c>
      <c r="S378" s="5">
        <v>42.367279171349701</v>
      </c>
      <c r="T378" s="5">
        <v>-71.081129709999999</v>
      </c>
    </row>
    <row r="379" spans="1:20" x14ac:dyDescent="0.3">
      <c r="A379" s="5" t="s">
        <v>1511</v>
      </c>
      <c r="B379" s="6">
        <v>17205</v>
      </c>
      <c r="C379" s="6" t="str">
        <f t="shared" si="108"/>
        <v>Active/Unavailable</v>
      </c>
      <c r="D379" s="5" t="s">
        <v>29</v>
      </c>
      <c r="E379" s="5" t="s">
        <v>1512</v>
      </c>
      <c r="F379" s="5" t="s">
        <v>217</v>
      </c>
      <c r="G379" s="5" t="str">
        <f t="shared" si="110"/>
        <v>Not Available</v>
      </c>
      <c r="H379" s="5" t="str">
        <f t="shared" si="112"/>
        <v>Not Available</v>
      </c>
      <c r="I379" s="5" t="s">
        <v>22</v>
      </c>
      <c r="J379" s="5" t="s">
        <v>3387</v>
      </c>
      <c r="K379" s="5" t="s">
        <v>3393</v>
      </c>
      <c r="L379" s="5" t="s">
        <v>22</v>
      </c>
      <c r="M379" s="5" t="s">
        <v>3588</v>
      </c>
      <c r="N379" s="5" t="s">
        <v>1513</v>
      </c>
      <c r="O379" s="5" t="s">
        <v>486</v>
      </c>
      <c r="P379" s="5" t="s">
        <v>26</v>
      </c>
      <c r="Q379" s="5" t="s">
        <v>34</v>
      </c>
      <c r="R379" s="5" t="str">
        <f>"0000"</f>
        <v>0000</v>
      </c>
      <c r="S379" s="5">
        <v>42.382726462270803</v>
      </c>
      <c r="T379" s="5">
        <v>-70.980541450000004</v>
      </c>
    </row>
    <row r="380" spans="1:20" x14ac:dyDescent="0.3">
      <c r="A380" s="5" t="s">
        <v>1514</v>
      </c>
      <c r="B380" s="6">
        <v>14381</v>
      </c>
      <c r="C380" s="6" t="str">
        <f t="shared" si="108"/>
        <v>Active/Unavailable</v>
      </c>
      <c r="D380" s="5" t="s">
        <v>100</v>
      </c>
      <c r="E380" s="5" t="s">
        <v>1515</v>
      </c>
      <c r="F380" s="5" t="s">
        <v>161</v>
      </c>
      <c r="G380" s="5" t="str">
        <f t="shared" si="110"/>
        <v>Not Available</v>
      </c>
      <c r="H380" s="5" t="str">
        <f t="shared" si="112"/>
        <v>Not Available</v>
      </c>
      <c r="I380" s="5" t="s">
        <v>65</v>
      </c>
      <c r="J380" s="5" t="s">
        <v>3387</v>
      </c>
      <c r="K380" s="5" t="s">
        <v>3393</v>
      </c>
      <c r="L380" s="5" t="s">
        <v>23</v>
      </c>
      <c r="M380" s="5" t="s">
        <v>3422</v>
      </c>
      <c r="N380" s="5" t="s">
        <v>1516</v>
      </c>
      <c r="O380" s="5" t="s">
        <v>25</v>
      </c>
      <c r="P380" s="5" t="s">
        <v>26</v>
      </c>
      <c r="Q380" s="5" t="s">
        <v>27</v>
      </c>
      <c r="R380" s="5">
        <v>2170</v>
      </c>
      <c r="S380" s="5">
        <v>42.258957176104303</v>
      </c>
      <c r="T380" s="5">
        <v>-70.983377610000005</v>
      </c>
    </row>
    <row r="381" spans="1:20" x14ac:dyDescent="0.3">
      <c r="A381" s="5" t="s">
        <v>1517</v>
      </c>
      <c r="B381" s="6">
        <v>24594</v>
      </c>
      <c r="C381" s="6" t="str">
        <f t="shared" si="108"/>
        <v>Active/Unavailable</v>
      </c>
      <c r="D381" s="5" t="s">
        <v>29</v>
      </c>
      <c r="E381" s="5" t="s">
        <v>1518</v>
      </c>
      <c r="F381" s="5" t="s">
        <v>1191</v>
      </c>
      <c r="G381" s="5" t="str">
        <f t="shared" si="110"/>
        <v>Not Available</v>
      </c>
      <c r="H381" s="5" t="str">
        <f t="shared" si="112"/>
        <v>Not Available</v>
      </c>
      <c r="I381" s="5" t="s">
        <v>22</v>
      </c>
      <c r="J381" s="5" t="s">
        <v>3387</v>
      </c>
      <c r="K381" s="5" t="s">
        <v>3393</v>
      </c>
      <c r="L381" s="5" t="s">
        <v>22</v>
      </c>
      <c r="M381" s="5" t="s">
        <v>3436</v>
      </c>
      <c r="N381" s="5" t="s">
        <v>1519</v>
      </c>
      <c r="O381" s="5" t="s">
        <v>56</v>
      </c>
      <c r="P381" s="5" t="s">
        <v>26</v>
      </c>
      <c r="Q381" s="5" t="s">
        <v>57</v>
      </c>
      <c r="R381" s="5">
        <v>2139</v>
      </c>
      <c r="S381" s="5">
        <v>42.333100880000003</v>
      </c>
      <c r="T381" s="5">
        <v>-71.056612400000006</v>
      </c>
    </row>
    <row r="382" spans="1:20" x14ac:dyDescent="0.3">
      <c r="A382" s="5" t="s">
        <v>1520</v>
      </c>
      <c r="B382" s="6">
        <v>17355</v>
      </c>
      <c r="C382" s="6" t="str">
        <f t="shared" si="108"/>
        <v>Active/Unavailable</v>
      </c>
      <c r="D382" s="5" t="s">
        <v>100</v>
      </c>
      <c r="E382" s="5" t="s">
        <v>1521</v>
      </c>
      <c r="F382" s="5" t="s">
        <v>83</v>
      </c>
      <c r="G382" s="5" t="str">
        <f t="shared" si="110"/>
        <v>Not Available</v>
      </c>
      <c r="H382" s="5" t="str">
        <f t="shared" si="112"/>
        <v>Not Available</v>
      </c>
      <c r="I382" s="5" t="s">
        <v>65</v>
      </c>
      <c r="J382" s="5" t="s">
        <v>3387</v>
      </c>
      <c r="K382" s="5" t="s">
        <v>3393</v>
      </c>
      <c r="L382" s="5" t="s">
        <v>23</v>
      </c>
      <c r="M382" s="5" t="s">
        <v>3576</v>
      </c>
      <c r="N382" s="5" t="s">
        <v>1522</v>
      </c>
      <c r="O382" s="5" t="s">
        <v>33</v>
      </c>
      <c r="P382" s="5" t="s">
        <v>26</v>
      </c>
      <c r="Q382" s="5" t="s">
        <v>34</v>
      </c>
      <c r="R382" s="5">
        <v>2128</v>
      </c>
      <c r="S382" s="5">
        <v>42.329065070900199</v>
      </c>
      <c r="T382" s="5">
        <v>-71.033998280000006</v>
      </c>
    </row>
    <row r="383" spans="1:20" x14ac:dyDescent="0.3">
      <c r="A383" s="7" t="s">
        <v>1523</v>
      </c>
      <c r="B383" s="6">
        <v>27385</v>
      </c>
      <c r="C383" s="6" t="str">
        <f t="shared" si="108"/>
        <v>Active/Unavailable</v>
      </c>
      <c r="D383" s="5" t="s">
        <v>18</v>
      </c>
      <c r="E383" s="5" t="s">
        <v>1524</v>
      </c>
      <c r="F383" s="5" t="s">
        <v>905</v>
      </c>
      <c r="G383" s="5" t="str">
        <f t="shared" si="110"/>
        <v>Not Available</v>
      </c>
      <c r="H383" s="5" t="s">
        <v>1525</v>
      </c>
      <c r="I383" s="5" t="s">
        <v>22</v>
      </c>
      <c r="J383" s="5" t="s">
        <v>3387</v>
      </c>
      <c r="K383" s="5" t="s">
        <v>3393</v>
      </c>
      <c r="L383" s="5" t="s">
        <v>23</v>
      </c>
      <c r="M383" s="5" t="s">
        <v>3582</v>
      </c>
      <c r="N383" s="5" t="s">
        <v>1526</v>
      </c>
      <c r="O383" s="5" t="s">
        <v>679</v>
      </c>
      <c r="P383" s="5" t="s">
        <v>26</v>
      </c>
      <c r="Q383" s="5" t="s">
        <v>317</v>
      </c>
      <c r="R383" s="5" t="str">
        <f>"0000"</f>
        <v>0000</v>
      </c>
      <c r="S383" s="5">
        <v>42.26785229</v>
      </c>
      <c r="T383" s="5">
        <v>-70.918899269999997</v>
      </c>
    </row>
    <row r="384" spans="1:20" x14ac:dyDescent="0.3">
      <c r="A384" s="5" t="s">
        <v>1527</v>
      </c>
      <c r="B384" s="6">
        <v>10151</v>
      </c>
      <c r="C384" s="6">
        <v>42568</v>
      </c>
      <c r="D384" s="5" t="s">
        <v>29</v>
      </c>
      <c r="E384" s="5" t="s">
        <v>1528</v>
      </c>
      <c r="F384" s="5" t="s">
        <v>1529</v>
      </c>
      <c r="G384" s="5" t="str">
        <f t="shared" si="110"/>
        <v>Not Available</v>
      </c>
      <c r="H384" s="5" t="str">
        <f t="shared" ref="H384:H390" si="113">"Not Available"</f>
        <v>Not Available</v>
      </c>
      <c r="I384" s="5" t="s">
        <v>22</v>
      </c>
      <c r="J384" s="5" t="s">
        <v>3387</v>
      </c>
      <c r="K384" s="5" t="s">
        <v>3393</v>
      </c>
      <c r="L384" s="5" t="s">
        <v>22</v>
      </c>
      <c r="M384" s="5" t="s">
        <v>3542</v>
      </c>
      <c r="N384" s="5" t="s">
        <v>1530</v>
      </c>
      <c r="O384" s="5" t="s">
        <v>33</v>
      </c>
      <c r="P384" s="5" t="s">
        <v>26</v>
      </c>
      <c r="Q384" s="5" t="s">
        <v>34</v>
      </c>
      <c r="R384" s="5">
        <v>2215</v>
      </c>
      <c r="S384" s="5">
        <v>42.388519161215797</v>
      </c>
      <c r="T384" s="5">
        <v>-71.077408439999999</v>
      </c>
    </row>
    <row r="385" spans="1:20" x14ac:dyDescent="0.3">
      <c r="A385" s="5" t="s">
        <v>1531</v>
      </c>
      <c r="B385" s="6">
        <v>21709</v>
      </c>
      <c r="C385" s="6" t="str">
        <f t="shared" ref="C385:C392" si="114">"Active/Unavailable"</f>
        <v>Active/Unavailable</v>
      </c>
      <c r="D385" s="5" t="s">
        <v>29</v>
      </c>
      <c r="E385" s="5" t="s">
        <v>1532</v>
      </c>
      <c r="F385" s="5" t="s">
        <v>775</v>
      </c>
      <c r="G385" s="5" t="str">
        <f t="shared" si="110"/>
        <v>Not Available</v>
      </c>
      <c r="H385" s="5" t="str">
        <f t="shared" si="113"/>
        <v>Not Available</v>
      </c>
      <c r="I385" s="5" t="s">
        <v>22</v>
      </c>
      <c r="J385" s="5" t="s">
        <v>3387</v>
      </c>
      <c r="K385" s="5" t="s">
        <v>3393</v>
      </c>
      <c r="L385" s="5" t="s">
        <v>22</v>
      </c>
      <c r="M385" s="5" t="s">
        <v>3562</v>
      </c>
      <c r="N385" s="5" t="s">
        <v>1533</v>
      </c>
      <c r="O385" s="5" t="s">
        <v>679</v>
      </c>
      <c r="P385" s="5" t="s">
        <v>26</v>
      </c>
      <c r="Q385" s="5" t="s">
        <v>317</v>
      </c>
      <c r="R385" s="5">
        <v>2045</v>
      </c>
      <c r="S385" s="5">
        <v>42.314658052733002</v>
      </c>
      <c r="T385" s="5">
        <v>-70.926566710000003</v>
      </c>
    </row>
    <row r="386" spans="1:20" x14ac:dyDescent="0.3">
      <c r="A386" s="5" t="s">
        <v>1534</v>
      </c>
      <c r="B386" s="6">
        <v>13579</v>
      </c>
      <c r="C386" s="6" t="str">
        <f t="shared" si="114"/>
        <v>Active/Unavailable</v>
      </c>
      <c r="D386" s="5" t="s">
        <v>100</v>
      </c>
      <c r="E386" s="5" t="s">
        <v>1535</v>
      </c>
      <c r="F386" s="5" t="s">
        <v>1536</v>
      </c>
      <c r="G386" s="5" t="str">
        <f t="shared" si="110"/>
        <v>Not Available</v>
      </c>
      <c r="H386" s="5" t="str">
        <f t="shared" si="113"/>
        <v>Not Available</v>
      </c>
      <c r="I386" s="5" t="s">
        <v>65</v>
      </c>
      <c r="J386" s="5" t="s">
        <v>3389</v>
      </c>
      <c r="K386" s="5" t="s">
        <v>3393</v>
      </c>
      <c r="L386" s="5" t="s">
        <v>23</v>
      </c>
      <c r="M386" s="5" t="s">
        <v>3589</v>
      </c>
      <c r="N386" s="5" t="s">
        <v>1537</v>
      </c>
      <c r="O386" s="5" t="s">
        <v>33</v>
      </c>
      <c r="P386" s="5" t="s">
        <v>26</v>
      </c>
      <c r="Q386" s="5" t="s">
        <v>34</v>
      </c>
      <c r="R386" s="5">
        <v>2210</v>
      </c>
      <c r="S386" s="5">
        <v>42.354670676846503</v>
      </c>
      <c r="T386" s="5">
        <v>-71.019341769999997</v>
      </c>
    </row>
    <row r="387" spans="1:20" x14ac:dyDescent="0.3">
      <c r="A387" s="5" t="s">
        <v>1538</v>
      </c>
      <c r="B387" s="6">
        <v>31731</v>
      </c>
      <c r="C387" s="6" t="str">
        <f t="shared" si="114"/>
        <v>Active/Unavailable</v>
      </c>
      <c r="D387" s="5" t="s">
        <v>29</v>
      </c>
      <c r="E387" s="5" t="s">
        <v>1539</v>
      </c>
      <c r="F387" s="5" t="s">
        <v>60</v>
      </c>
      <c r="G387" s="5" t="str">
        <f t="shared" si="110"/>
        <v>Not Available</v>
      </c>
      <c r="H387" s="5" t="str">
        <f t="shared" si="113"/>
        <v>Not Available</v>
      </c>
      <c r="I387" s="5" t="s">
        <v>22</v>
      </c>
      <c r="J387" s="5" t="s">
        <v>3387</v>
      </c>
      <c r="K387" s="5" t="s">
        <v>3394</v>
      </c>
      <c r="L387" s="5" t="s">
        <v>22</v>
      </c>
      <c r="M387" s="5" t="s">
        <v>3493</v>
      </c>
      <c r="N387" s="5" t="s">
        <v>1540</v>
      </c>
      <c r="O387" s="5" t="s">
        <v>33</v>
      </c>
      <c r="P387" s="5" t="s">
        <v>26</v>
      </c>
      <c r="Q387" s="5" t="s">
        <v>34</v>
      </c>
      <c r="R387" s="5" t="str">
        <f>"0000"</f>
        <v>0000</v>
      </c>
      <c r="S387" s="5">
        <v>42.32916943</v>
      </c>
      <c r="T387" s="5">
        <v>-71.092299629999999</v>
      </c>
    </row>
    <row r="388" spans="1:20" x14ac:dyDescent="0.3">
      <c r="A388" s="5" t="s">
        <v>1541</v>
      </c>
      <c r="B388" s="6">
        <v>10151</v>
      </c>
      <c r="C388" s="6" t="str">
        <f t="shared" si="114"/>
        <v>Active/Unavailable</v>
      </c>
      <c r="D388" s="5" t="s">
        <v>29</v>
      </c>
      <c r="E388" s="5" t="s">
        <v>1542</v>
      </c>
      <c r="F388" s="5" t="s">
        <v>1443</v>
      </c>
      <c r="G388" s="5" t="str">
        <f t="shared" si="110"/>
        <v>Not Available</v>
      </c>
      <c r="H388" s="5" t="str">
        <f t="shared" si="113"/>
        <v>Not Available</v>
      </c>
      <c r="I388" s="5" t="s">
        <v>22</v>
      </c>
      <c r="J388" s="5" t="s">
        <v>3387</v>
      </c>
      <c r="K388" s="5" t="s">
        <v>3393</v>
      </c>
      <c r="L388" s="5" t="s">
        <v>22</v>
      </c>
      <c r="M388" s="5" t="s">
        <v>3404</v>
      </c>
      <c r="N388" s="5" t="s">
        <v>1543</v>
      </c>
      <c r="O388" s="5" t="s">
        <v>33</v>
      </c>
      <c r="P388" s="5" t="s">
        <v>26</v>
      </c>
      <c r="Q388" s="5" t="s">
        <v>34</v>
      </c>
      <c r="R388" s="5">
        <v>2135</v>
      </c>
      <c r="S388" s="5">
        <v>42.302827500624701</v>
      </c>
      <c r="T388" s="5">
        <v>-70.996217610000002</v>
      </c>
    </row>
    <row r="389" spans="1:20" x14ac:dyDescent="0.3">
      <c r="A389" s="5" t="s">
        <v>1544</v>
      </c>
      <c r="B389" s="6">
        <v>31057</v>
      </c>
      <c r="C389" s="6" t="str">
        <f t="shared" si="114"/>
        <v>Active/Unavailable</v>
      </c>
      <c r="D389" s="5" t="s">
        <v>100</v>
      </c>
      <c r="E389" s="5" t="s">
        <v>1545</v>
      </c>
      <c r="F389" s="5" t="s">
        <v>874</v>
      </c>
      <c r="G389" s="5" t="str">
        <f t="shared" si="110"/>
        <v>Not Available</v>
      </c>
      <c r="H389" s="5" t="str">
        <f t="shared" si="113"/>
        <v>Not Available</v>
      </c>
      <c r="I389" s="5" t="s">
        <v>65</v>
      </c>
      <c r="J389" s="5" t="s">
        <v>3387</v>
      </c>
      <c r="K389" s="5" t="s">
        <v>3393</v>
      </c>
      <c r="L389" s="5" t="s">
        <v>23</v>
      </c>
      <c r="M389" s="5" t="s">
        <v>3421</v>
      </c>
      <c r="N389" s="5" t="s">
        <v>1546</v>
      </c>
      <c r="O389" s="5" t="s">
        <v>136</v>
      </c>
      <c r="P389" s="5" t="s">
        <v>26</v>
      </c>
      <c r="Q389" s="5" t="s">
        <v>27</v>
      </c>
      <c r="R389" s="5" t="str">
        <f>"0000"</f>
        <v>0000</v>
      </c>
      <c r="S389" s="5">
        <v>42.253816635448203</v>
      </c>
      <c r="T389" s="5">
        <v>-70.799685999999994</v>
      </c>
    </row>
    <row r="390" spans="1:20" x14ac:dyDescent="0.3">
      <c r="A390" s="5" t="s">
        <v>1547</v>
      </c>
      <c r="B390" s="6">
        <v>8433</v>
      </c>
      <c r="C390" s="6" t="str">
        <f t="shared" si="114"/>
        <v>Active/Unavailable</v>
      </c>
      <c r="D390" s="5" t="s">
        <v>29</v>
      </c>
      <c r="E390" s="5" t="s">
        <v>1548</v>
      </c>
      <c r="F390" s="5" t="s">
        <v>1549</v>
      </c>
      <c r="G390" s="5" t="str">
        <f t="shared" si="110"/>
        <v>Not Available</v>
      </c>
      <c r="H390" s="5" t="str">
        <f t="shared" si="113"/>
        <v>Not Available</v>
      </c>
      <c r="I390" s="5" t="s">
        <v>22</v>
      </c>
      <c r="J390" s="5" t="s">
        <v>3387</v>
      </c>
      <c r="K390" s="5" t="s">
        <v>3393</v>
      </c>
      <c r="L390" s="5" t="s">
        <v>22</v>
      </c>
      <c r="M390" s="5" t="s">
        <v>3590</v>
      </c>
      <c r="N390" s="5" t="s">
        <v>1550</v>
      </c>
      <c r="O390" s="5" t="s">
        <v>25</v>
      </c>
      <c r="P390" s="5" t="s">
        <v>26</v>
      </c>
      <c r="Q390" s="5" t="s">
        <v>27</v>
      </c>
      <c r="R390" s="5">
        <v>2186</v>
      </c>
      <c r="S390" s="5">
        <v>42.316269428138902</v>
      </c>
      <c r="T390" s="5">
        <v>-71.025276020000007</v>
      </c>
    </row>
    <row r="391" spans="1:20" x14ac:dyDescent="0.3">
      <c r="A391" s="5" t="s">
        <v>1551</v>
      </c>
      <c r="B391" s="6">
        <v>16275</v>
      </c>
      <c r="C391" s="6" t="str">
        <f t="shared" si="114"/>
        <v>Active/Unavailable</v>
      </c>
      <c r="D391" s="5" t="s">
        <v>18</v>
      </c>
      <c r="E391" s="5" t="s">
        <v>1552</v>
      </c>
      <c r="F391" s="5" t="s">
        <v>1553</v>
      </c>
      <c r="G391" s="5" t="str">
        <f t="shared" si="110"/>
        <v>Not Available</v>
      </c>
      <c r="H391" s="5" t="s">
        <v>1554</v>
      </c>
      <c r="I391" s="5" t="s">
        <v>22</v>
      </c>
      <c r="J391" s="5" t="s">
        <v>3389</v>
      </c>
      <c r="K391" s="5" t="s">
        <v>3394</v>
      </c>
      <c r="L391" s="5" t="s">
        <v>23</v>
      </c>
      <c r="M391" s="5" t="s">
        <v>3414</v>
      </c>
      <c r="N391" s="5" t="s">
        <v>1555</v>
      </c>
      <c r="O391" s="5" t="s">
        <v>33</v>
      </c>
      <c r="P391" s="5" t="s">
        <v>26</v>
      </c>
      <c r="Q391" s="5" t="s">
        <v>34</v>
      </c>
      <c r="R391" s="5">
        <v>2152</v>
      </c>
      <c r="S391" s="5">
        <v>42.347431838595803</v>
      </c>
      <c r="T391" s="5">
        <v>-71.033358759999999</v>
      </c>
    </row>
    <row r="392" spans="1:20" x14ac:dyDescent="0.3">
      <c r="A392" s="5" t="s">
        <v>1556</v>
      </c>
      <c r="B392" s="6">
        <v>23479</v>
      </c>
      <c r="C392" s="6" t="str">
        <f t="shared" si="114"/>
        <v>Active/Unavailable</v>
      </c>
      <c r="D392" s="5" t="s">
        <v>18</v>
      </c>
      <c r="E392" s="5" t="s">
        <v>1557</v>
      </c>
      <c r="F392" s="5" t="s">
        <v>537</v>
      </c>
      <c r="G392" s="5" t="str">
        <f t="shared" si="110"/>
        <v>Not Available</v>
      </c>
      <c r="H392" s="5" t="s">
        <v>1558</v>
      </c>
      <c r="I392" s="5" t="s">
        <v>22</v>
      </c>
      <c r="J392" s="5" t="s">
        <v>3387</v>
      </c>
      <c r="K392" s="5" t="s">
        <v>3393</v>
      </c>
      <c r="L392" s="5" t="s">
        <v>23</v>
      </c>
      <c r="M392" s="5" t="s">
        <v>3576</v>
      </c>
      <c r="N392" s="5" t="s">
        <v>1559</v>
      </c>
      <c r="O392" s="5" t="s">
        <v>209</v>
      </c>
      <c r="P392" s="5" t="s">
        <v>26</v>
      </c>
      <c r="Q392" s="5" t="s">
        <v>27</v>
      </c>
      <c r="R392" s="5">
        <v>2191</v>
      </c>
      <c r="S392" s="5">
        <v>42.2897720996272</v>
      </c>
      <c r="T392" s="5">
        <v>-70.901817870000002</v>
      </c>
    </row>
    <row r="393" spans="1:20" x14ac:dyDescent="0.3">
      <c r="A393" s="5" t="s">
        <v>1560</v>
      </c>
      <c r="B393" s="6">
        <v>13198</v>
      </c>
      <c r="C393" s="6">
        <v>43677</v>
      </c>
      <c r="D393" s="5" t="s">
        <v>29</v>
      </c>
      <c r="E393" s="5" t="s">
        <v>880</v>
      </c>
      <c r="F393" s="5" t="s">
        <v>785</v>
      </c>
      <c r="G393" s="5" t="str">
        <f t="shared" si="110"/>
        <v>Not Available</v>
      </c>
      <c r="H393" s="5" t="str">
        <f t="shared" ref="H393:H397" si="115">"Not Available"</f>
        <v>Not Available</v>
      </c>
      <c r="I393" s="5" t="s">
        <v>22</v>
      </c>
      <c r="J393" s="5" t="s">
        <v>3389</v>
      </c>
      <c r="K393" s="5" t="s">
        <v>3393</v>
      </c>
      <c r="L393" s="5" t="s">
        <v>22</v>
      </c>
      <c r="M393" s="5" t="s">
        <v>3412</v>
      </c>
      <c r="N393" s="5" t="s">
        <v>1561</v>
      </c>
      <c r="O393" s="5" t="s">
        <v>108</v>
      </c>
      <c r="P393" s="5" t="s">
        <v>26</v>
      </c>
      <c r="Q393" s="5" t="s">
        <v>34</v>
      </c>
      <c r="R393" s="5">
        <v>2151</v>
      </c>
      <c r="S393" s="5">
        <v>42.404794063632302</v>
      </c>
      <c r="T393" s="5">
        <v>-70.956674340000006</v>
      </c>
    </row>
    <row r="394" spans="1:20" x14ac:dyDescent="0.3">
      <c r="A394" s="5" t="s">
        <v>1562</v>
      </c>
      <c r="B394" s="6">
        <v>19453</v>
      </c>
      <c r="C394" s="6" t="str">
        <f t="shared" ref="C394:C396" si="116">"Active/Unavailable"</f>
        <v>Active/Unavailable</v>
      </c>
      <c r="D394" s="5" t="s">
        <v>29</v>
      </c>
      <c r="E394" s="5" t="s">
        <v>1563</v>
      </c>
      <c r="F394" s="5" t="s">
        <v>1564</v>
      </c>
      <c r="G394" s="5" t="s">
        <v>398</v>
      </c>
      <c r="H394" s="5" t="str">
        <f t="shared" si="115"/>
        <v>Not Available</v>
      </c>
      <c r="I394" s="5" t="s">
        <v>22</v>
      </c>
      <c r="J394" s="5" t="s">
        <v>3387</v>
      </c>
      <c r="K394" s="5" t="s">
        <v>3393</v>
      </c>
      <c r="L394" s="5" t="s">
        <v>22</v>
      </c>
      <c r="M394" s="5" t="s">
        <v>3529</v>
      </c>
      <c r="N394" s="5" t="s">
        <v>1565</v>
      </c>
      <c r="O394" s="5" t="s">
        <v>33</v>
      </c>
      <c r="P394" s="5" t="s">
        <v>26</v>
      </c>
      <c r="Q394" s="5" t="s">
        <v>34</v>
      </c>
      <c r="R394" s="5">
        <v>2132</v>
      </c>
      <c r="S394" s="5">
        <v>42.347342597444303</v>
      </c>
      <c r="T394" s="5">
        <v>-71.013146939999999</v>
      </c>
    </row>
    <row r="395" spans="1:20" x14ac:dyDescent="0.3">
      <c r="A395" s="5" t="s">
        <v>1566</v>
      </c>
      <c r="B395" s="6">
        <v>27199</v>
      </c>
      <c r="C395" s="6" t="str">
        <f t="shared" si="116"/>
        <v>Active/Unavailable</v>
      </c>
      <c r="D395" s="5" t="s">
        <v>29</v>
      </c>
      <c r="E395" s="5" t="s">
        <v>1567</v>
      </c>
      <c r="F395" s="5" t="s">
        <v>1152</v>
      </c>
      <c r="G395" s="5" t="str">
        <f t="shared" ref="G395:G397" si="117">"Not Available"</f>
        <v>Not Available</v>
      </c>
      <c r="H395" s="5" t="str">
        <f t="shared" si="115"/>
        <v>Not Available</v>
      </c>
      <c r="I395" s="5" t="s">
        <v>22</v>
      </c>
      <c r="J395" s="5" t="s">
        <v>3387</v>
      </c>
      <c r="K395" s="5" t="s">
        <v>3393</v>
      </c>
      <c r="L395" s="5" t="s">
        <v>22</v>
      </c>
      <c r="M395" s="5" t="s">
        <v>3435</v>
      </c>
      <c r="N395" s="5" t="s">
        <v>1568</v>
      </c>
      <c r="O395" s="5" t="s">
        <v>25</v>
      </c>
      <c r="P395" s="5" t="s">
        <v>26</v>
      </c>
      <c r="Q395" s="5" t="s">
        <v>27</v>
      </c>
      <c r="R395" s="5" t="str">
        <f>"0000"</f>
        <v>0000</v>
      </c>
      <c r="S395" s="5">
        <v>42.255834790624803</v>
      </c>
      <c r="T395" s="5">
        <v>-70.97285411</v>
      </c>
    </row>
    <row r="396" spans="1:20" x14ac:dyDescent="0.3">
      <c r="A396" s="5" t="s">
        <v>1569</v>
      </c>
      <c r="B396" s="6">
        <v>24845</v>
      </c>
      <c r="C396" s="6" t="str">
        <f t="shared" si="116"/>
        <v>Active/Unavailable</v>
      </c>
      <c r="D396" s="5" t="s">
        <v>100</v>
      </c>
      <c r="E396" s="5" t="s">
        <v>1570</v>
      </c>
      <c r="F396" s="5" t="s">
        <v>1571</v>
      </c>
      <c r="G396" s="5" t="str">
        <f t="shared" si="117"/>
        <v>Not Available</v>
      </c>
      <c r="H396" s="5" t="str">
        <f t="shared" si="115"/>
        <v>Not Available</v>
      </c>
      <c r="I396" s="5" t="s">
        <v>65</v>
      </c>
      <c r="J396" s="5" t="s">
        <v>3388</v>
      </c>
      <c r="K396" s="5" t="s">
        <v>3393</v>
      </c>
      <c r="L396" s="5" t="s">
        <v>23</v>
      </c>
      <c r="M396" s="5" t="s">
        <v>3414</v>
      </c>
      <c r="N396" s="5" t="s">
        <v>1572</v>
      </c>
      <c r="O396" s="5" t="s">
        <v>33</v>
      </c>
      <c r="P396" s="5" t="s">
        <v>26</v>
      </c>
      <c r="Q396" s="5" t="s">
        <v>34</v>
      </c>
      <c r="R396" s="5">
        <v>2128</v>
      </c>
      <c r="S396" s="5">
        <v>42.321430969567302</v>
      </c>
      <c r="T396" s="5">
        <v>-71.130305609999994</v>
      </c>
    </row>
    <row r="397" spans="1:20" x14ac:dyDescent="0.3">
      <c r="A397" s="5" t="s">
        <v>1573</v>
      </c>
      <c r="B397" s="6">
        <v>18620</v>
      </c>
      <c r="C397" s="6">
        <v>42828</v>
      </c>
      <c r="D397" s="5" t="s">
        <v>29</v>
      </c>
      <c r="E397" s="5" t="s">
        <v>1574</v>
      </c>
      <c r="F397" s="5" t="s">
        <v>1575</v>
      </c>
      <c r="G397" s="5" t="str">
        <f t="shared" si="117"/>
        <v>Not Available</v>
      </c>
      <c r="H397" s="5" t="str">
        <f t="shared" si="115"/>
        <v>Not Available</v>
      </c>
      <c r="I397" s="5" t="s">
        <v>22</v>
      </c>
      <c r="J397" s="5" t="s">
        <v>3387</v>
      </c>
      <c r="K397" s="5" t="s">
        <v>3393</v>
      </c>
      <c r="L397" s="5" t="s">
        <v>22</v>
      </c>
      <c r="M397" s="5" t="s">
        <v>3591</v>
      </c>
      <c r="N397" s="5" t="s">
        <v>1576</v>
      </c>
      <c r="O397" s="5" t="s">
        <v>33</v>
      </c>
      <c r="P397" s="5" t="s">
        <v>26</v>
      </c>
      <c r="Q397" s="5" t="s">
        <v>34</v>
      </c>
      <c r="R397" s="5">
        <v>2136</v>
      </c>
      <c r="S397" s="5">
        <v>42.367457094748303</v>
      </c>
      <c r="T397" s="5">
        <v>-71.013406130000007</v>
      </c>
    </row>
    <row r="398" spans="1:20" x14ac:dyDescent="0.3">
      <c r="A398" s="7" t="s">
        <v>1577</v>
      </c>
      <c r="B398" s="6">
        <v>21863</v>
      </c>
      <c r="C398" s="6" t="str">
        <f t="shared" ref="C398:C411" si="118">"Active/Unavailable"</f>
        <v>Active/Unavailable</v>
      </c>
      <c r="D398" s="5" t="s">
        <v>18</v>
      </c>
      <c r="E398" s="5" t="s">
        <v>1578</v>
      </c>
      <c r="F398" s="5" t="s">
        <v>1579</v>
      </c>
      <c r="G398" s="5" t="s">
        <v>314</v>
      </c>
      <c r="H398" s="5" t="s">
        <v>73</v>
      </c>
      <c r="I398" s="5" t="s">
        <v>22</v>
      </c>
      <c r="J398" s="5" t="s">
        <v>3387</v>
      </c>
      <c r="K398" s="5" t="s">
        <v>3393</v>
      </c>
      <c r="L398" s="5" t="s">
        <v>23</v>
      </c>
      <c r="M398" s="5" t="s">
        <v>3538</v>
      </c>
      <c r="N398" s="5" t="s">
        <v>1580</v>
      </c>
      <c r="O398" s="5" t="s">
        <v>33</v>
      </c>
      <c r="P398" s="5" t="s">
        <v>26</v>
      </c>
      <c r="Q398" s="5" t="s">
        <v>34</v>
      </c>
      <c r="R398" s="5">
        <v>2109</v>
      </c>
      <c r="S398" s="5">
        <v>42.334509932246497</v>
      </c>
      <c r="T398" s="5">
        <v>-71.05555957</v>
      </c>
    </row>
    <row r="399" spans="1:20" x14ac:dyDescent="0.3">
      <c r="A399" s="5" t="s">
        <v>1581</v>
      </c>
      <c r="B399" s="6">
        <v>18620</v>
      </c>
      <c r="C399" s="6" t="str">
        <f t="shared" si="118"/>
        <v>Active/Unavailable</v>
      </c>
      <c r="D399" s="5" t="s">
        <v>29</v>
      </c>
      <c r="E399" s="5" t="s">
        <v>1582</v>
      </c>
      <c r="F399" s="5" t="s">
        <v>785</v>
      </c>
      <c r="G399" s="5" t="str">
        <f t="shared" ref="G399:G400" si="119">"Not Available"</f>
        <v>Not Available</v>
      </c>
      <c r="H399" s="5" t="str">
        <f>"Not Available"</f>
        <v>Not Available</v>
      </c>
      <c r="I399" s="5" t="s">
        <v>65</v>
      </c>
      <c r="J399" s="5" t="s">
        <v>3387</v>
      </c>
      <c r="K399" s="5" t="s">
        <v>3393</v>
      </c>
      <c r="L399" s="5" t="s">
        <v>22</v>
      </c>
      <c r="M399" s="5" t="s">
        <v>3592</v>
      </c>
      <c r="N399" s="5" t="s">
        <v>3699</v>
      </c>
      <c r="O399" s="5" t="s">
        <v>33</v>
      </c>
      <c r="P399" s="5" t="s">
        <v>26</v>
      </c>
      <c r="Q399" s="5" t="s">
        <v>34</v>
      </c>
      <c r="R399" s="5">
        <v>2130</v>
      </c>
      <c r="S399" s="5">
        <v>42.338901083630397</v>
      </c>
      <c r="T399" s="5">
        <v>-71.073558550000001</v>
      </c>
    </row>
    <row r="400" spans="1:20" x14ac:dyDescent="0.3">
      <c r="A400" s="5" t="s">
        <v>1583</v>
      </c>
      <c r="B400" s="6">
        <v>15890</v>
      </c>
      <c r="C400" s="6" t="str">
        <f t="shared" si="118"/>
        <v>Active/Unavailable</v>
      </c>
      <c r="D400" s="5" t="s">
        <v>18</v>
      </c>
      <c r="E400" s="5" t="s">
        <v>1584</v>
      </c>
      <c r="F400" s="5" t="s">
        <v>1585</v>
      </c>
      <c r="G400" s="5" t="str">
        <f t="shared" si="119"/>
        <v>Not Available</v>
      </c>
      <c r="H400" s="5" t="s">
        <v>870</v>
      </c>
      <c r="I400" s="5" t="s">
        <v>22</v>
      </c>
      <c r="J400" s="5" t="s">
        <v>3387</v>
      </c>
      <c r="K400" s="5" t="s">
        <v>3393</v>
      </c>
      <c r="L400" s="5" t="s">
        <v>23</v>
      </c>
      <c r="M400" s="5" t="s">
        <v>3593</v>
      </c>
      <c r="N400" s="5" t="s">
        <v>1586</v>
      </c>
      <c r="O400" s="5" t="s">
        <v>108</v>
      </c>
      <c r="P400" s="5" t="s">
        <v>26</v>
      </c>
      <c r="Q400" s="5" t="s">
        <v>34</v>
      </c>
      <c r="R400" s="5" t="str">
        <f>"0000"</f>
        <v>0000</v>
      </c>
      <c r="S400" s="5">
        <v>42.401402984455501</v>
      </c>
      <c r="T400" s="5">
        <v>-70.952332049999995</v>
      </c>
    </row>
    <row r="401" spans="1:20" x14ac:dyDescent="0.3">
      <c r="A401" s="5" t="s">
        <v>1587</v>
      </c>
      <c r="B401" s="6">
        <v>9119</v>
      </c>
      <c r="C401" s="6" t="str">
        <f t="shared" si="118"/>
        <v>Active/Unavailable</v>
      </c>
      <c r="D401" s="5" t="s">
        <v>29</v>
      </c>
      <c r="E401" s="5" t="s">
        <v>1588</v>
      </c>
      <c r="F401" s="5" t="s">
        <v>1589</v>
      </c>
      <c r="G401" s="5" t="s">
        <v>398</v>
      </c>
      <c r="H401" s="5" t="str">
        <f>"Not Available"</f>
        <v>Not Available</v>
      </c>
      <c r="I401" s="5" t="s">
        <v>22</v>
      </c>
      <c r="J401" s="5" t="s">
        <v>3387</v>
      </c>
      <c r="K401" s="5" t="s">
        <v>3393</v>
      </c>
      <c r="L401" s="5" t="s">
        <v>22</v>
      </c>
      <c r="M401" s="5" t="s">
        <v>3420</v>
      </c>
      <c r="N401" s="5" t="s">
        <v>1590</v>
      </c>
      <c r="O401" s="5" t="s">
        <v>88</v>
      </c>
      <c r="P401" s="5" t="s">
        <v>26</v>
      </c>
      <c r="Q401" s="5" t="s">
        <v>57</v>
      </c>
      <c r="R401" s="5">
        <v>2145</v>
      </c>
      <c r="S401" s="5">
        <v>42.341821380903497</v>
      </c>
      <c r="T401" s="5">
        <v>-71.053472760000005</v>
      </c>
    </row>
    <row r="402" spans="1:20" x14ac:dyDescent="0.3">
      <c r="A402" s="5" t="s">
        <v>1591</v>
      </c>
      <c r="B402" s="6">
        <v>24440</v>
      </c>
      <c r="C402" s="6" t="str">
        <f t="shared" si="118"/>
        <v>Active/Unavailable</v>
      </c>
      <c r="D402" s="5" t="s">
        <v>18</v>
      </c>
      <c r="E402" s="5" t="s">
        <v>1592</v>
      </c>
      <c r="F402" s="5" t="s">
        <v>1099</v>
      </c>
      <c r="G402" s="5" t="str">
        <f t="shared" ref="G402:G416" si="120">"Not Available"</f>
        <v>Not Available</v>
      </c>
      <c r="H402" s="5" t="s">
        <v>1593</v>
      </c>
      <c r="I402" s="5" t="s">
        <v>22</v>
      </c>
      <c r="J402" s="5" t="s">
        <v>3389</v>
      </c>
      <c r="K402" s="5" t="s">
        <v>3393</v>
      </c>
      <c r="L402" s="5" t="s">
        <v>23</v>
      </c>
      <c r="M402" s="5" t="s">
        <v>3514</v>
      </c>
      <c r="N402" s="5" t="s">
        <v>3700</v>
      </c>
      <c r="O402" s="5" t="s">
        <v>33</v>
      </c>
      <c r="P402" s="5" t="s">
        <v>26</v>
      </c>
      <c r="Q402" s="5" t="s">
        <v>34</v>
      </c>
      <c r="R402" s="5">
        <v>2126</v>
      </c>
      <c r="S402" s="5">
        <v>42.365363767794399</v>
      </c>
      <c r="T402" s="5">
        <v>-71.013686680000006</v>
      </c>
    </row>
    <row r="403" spans="1:20" x14ac:dyDescent="0.3">
      <c r="A403" s="5" t="s">
        <v>1594</v>
      </c>
      <c r="B403" s="6">
        <v>12579</v>
      </c>
      <c r="C403" s="6" t="str">
        <f t="shared" si="118"/>
        <v>Active/Unavailable</v>
      </c>
      <c r="D403" s="5" t="s">
        <v>29</v>
      </c>
      <c r="E403" s="5" t="s">
        <v>1595</v>
      </c>
      <c r="F403" s="5" t="s">
        <v>906</v>
      </c>
      <c r="G403" s="5" t="str">
        <f t="shared" si="120"/>
        <v>Not Available</v>
      </c>
      <c r="H403" s="5" t="str">
        <f t="shared" ref="H403:H407" si="121">"Not Available"</f>
        <v>Not Available</v>
      </c>
      <c r="I403" s="5" t="s">
        <v>22</v>
      </c>
      <c r="J403" s="5" t="s">
        <v>3387</v>
      </c>
      <c r="K403" s="5" t="s">
        <v>3393</v>
      </c>
      <c r="L403" s="5" t="s">
        <v>22</v>
      </c>
      <c r="M403" s="5" t="s">
        <v>3594</v>
      </c>
      <c r="N403" s="5" t="s">
        <v>1596</v>
      </c>
      <c r="O403" s="5" t="s">
        <v>33</v>
      </c>
      <c r="P403" s="5" t="s">
        <v>26</v>
      </c>
      <c r="Q403" s="5" t="s">
        <v>34</v>
      </c>
      <c r="R403" s="5">
        <v>2163</v>
      </c>
      <c r="S403" s="5">
        <v>42.344292986990098</v>
      </c>
      <c r="T403" s="5">
        <v>-71.104897089999994</v>
      </c>
    </row>
    <row r="404" spans="1:20" x14ac:dyDescent="0.3">
      <c r="A404" s="5" t="s">
        <v>1597</v>
      </c>
      <c r="B404" s="6">
        <v>12854</v>
      </c>
      <c r="C404" s="6" t="str">
        <f t="shared" si="118"/>
        <v>Active/Unavailable</v>
      </c>
      <c r="D404" s="5" t="s">
        <v>29</v>
      </c>
      <c r="E404" s="5" t="s">
        <v>1598</v>
      </c>
      <c r="F404" s="5" t="s">
        <v>238</v>
      </c>
      <c r="G404" s="5" t="str">
        <f t="shared" si="120"/>
        <v>Not Available</v>
      </c>
      <c r="H404" s="5" t="str">
        <f t="shared" si="121"/>
        <v>Not Available</v>
      </c>
      <c r="I404" s="5" t="s">
        <v>65</v>
      </c>
      <c r="J404" s="5" t="s">
        <v>3387</v>
      </c>
      <c r="K404" s="5" t="s">
        <v>3393</v>
      </c>
      <c r="L404" s="5" t="s">
        <v>22</v>
      </c>
      <c r="M404" s="5" t="s">
        <v>3595</v>
      </c>
      <c r="N404" s="5" t="s">
        <v>1599</v>
      </c>
      <c r="O404" s="5" t="s">
        <v>88</v>
      </c>
      <c r="P404" s="5" t="s">
        <v>26</v>
      </c>
      <c r="Q404" s="5" t="s">
        <v>57</v>
      </c>
      <c r="R404" s="5">
        <v>2145</v>
      </c>
      <c r="S404" s="5">
        <v>42.350669097045802</v>
      </c>
      <c r="T404" s="5">
        <v>-71.098545479999999</v>
      </c>
    </row>
    <row r="405" spans="1:20" x14ac:dyDescent="0.3">
      <c r="A405" s="5" t="s">
        <v>1600</v>
      </c>
      <c r="B405" s="6">
        <v>24201</v>
      </c>
      <c r="C405" s="6" t="str">
        <f t="shared" si="118"/>
        <v>Active/Unavailable</v>
      </c>
      <c r="D405" s="5" t="s">
        <v>29</v>
      </c>
      <c r="E405" s="5" t="s">
        <v>1512</v>
      </c>
      <c r="F405" s="5" t="s">
        <v>1601</v>
      </c>
      <c r="G405" s="5" t="str">
        <f t="shared" si="120"/>
        <v>Not Available</v>
      </c>
      <c r="H405" s="5" t="str">
        <f t="shared" si="121"/>
        <v>Not Available</v>
      </c>
      <c r="I405" s="5" t="s">
        <v>22</v>
      </c>
      <c r="J405" s="5" t="s">
        <v>3387</v>
      </c>
      <c r="K405" s="5" t="s">
        <v>3394</v>
      </c>
      <c r="L405" s="5" t="s">
        <v>22</v>
      </c>
      <c r="M405" s="5" t="s">
        <v>3479</v>
      </c>
      <c r="N405" s="5" t="s">
        <v>1602</v>
      </c>
      <c r="O405" s="5" t="s">
        <v>33</v>
      </c>
      <c r="P405" s="5" t="s">
        <v>26</v>
      </c>
      <c r="Q405" s="5" t="s">
        <v>34</v>
      </c>
      <c r="R405" s="5">
        <v>2110</v>
      </c>
      <c r="S405" s="5">
        <v>42.298330566270799</v>
      </c>
      <c r="T405" s="5">
        <v>-71.037827789999994</v>
      </c>
    </row>
    <row r="406" spans="1:20" x14ac:dyDescent="0.3">
      <c r="A406" s="5" t="s">
        <v>1603</v>
      </c>
      <c r="B406" s="6">
        <v>29262</v>
      </c>
      <c r="C406" s="6" t="str">
        <f t="shared" si="118"/>
        <v>Active/Unavailable</v>
      </c>
      <c r="D406" s="5" t="s">
        <v>100</v>
      </c>
      <c r="E406" s="5" t="s">
        <v>1604</v>
      </c>
      <c r="F406" s="5" t="s">
        <v>357</v>
      </c>
      <c r="G406" s="5" t="str">
        <f t="shared" si="120"/>
        <v>Not Available</v>
      </c>
      <c r="H406" s="5" t="str">
        <f t="shared" si="121"/>
        <v>Not Available</v>
      </c>
      <c r="I406" s="5" t="s">
        <v>65</v>
      </c>
      <c r="J406" s="5" t="s">
        <v>3387</v>
      </c>
      <c r="K406" s="5" t="s">
        <v>3393</v>
      </c>
      <c r="L406" s="5" t="s">
        <v>23</v>
      </c>
      <c r="M406" s="5" t="s">
        <v>3514</v>
      </c>
      <c r="N406" s="5" t="s">
        <v>1605</v>
      </c>
      <c r="O406" s="5" t="s">
        <v>354</v>
      </c>
      <c r="P406" s="5" t="s">
        <v>26</v>
      </c>
      <c r="Q406" s="5" t="s">
        <v>57</v>
      </c>
      <c r="R406" s="5">
        <v>2459</v>
      </c>
      <c r="S406" s="5">
        <v>42.354304130000003</v>
      </c>
      <c r="T406" s="5">
        <v>-71.152581909999995</v>
      </c>
    </row>
    <row r="407" spans="1:20" x14ac:dyDescent="0.3">
      <c r="A407" s="5" t="s">
        <v>1606</v>
      </c>
      <c r="B407" s="6">
        <v>8939</v>
      </c>
      <c r="C407" s="6" t="str">
        <f t="shared" si="118"/>
        <v>Active/Unavailable</v>
      </c>
      <c r="D407" s="5" t="s">
        <v>29</v>
      </c>
      <c r="E407" s="5" t="s">
        <v>1607</v>
      </c>
      <c r="F407" s="5" t="s">
        <v>604</v>
      </c>
      <c r="G407" s="5" t="str">
        <f t="shared" si="120"/>
        <v>Not Available</v>
      </c>
      <c r="H407" s="5" t="str">
        <f t="shared" si="121"/>
        <v>Not Available</v>
      </c>
      <c r="I407" s="5" t="s">
        <v>22</v>
      </c>
      <c r="J407" s="5" t="s">
        <v>3387</v>
      </c>
      <c r="K407" s="5" t="s">
        <v>3393</v>
      </c>
      <c r="L407" s="5" t="s">
        <v>22</v>
      </c>
      <c r="M407" s="5" t="s">
        <v>3596</v>
      </c>
      <c r="N407" s="5" t="s">
        <v>1608</v>
      </c>
      <c r="O407" s="5" t="s">
        <v>33</v>
      </c>
      <c r="P407" s="5" t="s">
        <v>26</v>
      </c>
      <c r="Q407" s="5" t="s">
        <v>34</v>
      </c>
      <c r="R407" s="5">
        <v>2114</v>
      </c>
      <c r="S407" s="5">
        <v>42.3042436635331</v>
      </c>
      <c r="T407" s="5">
        <v>-71.05757199</v>
      </c>
    </row>
    <row r="408" spans="1:20" x14ac:dyDescent="0.3">
      <c r="A408" s="5" t="s">
        <v>1609</v>
      </c>
      <c r="B408" s="6">
        <v>32583</v>
      </c>
      <c r="C408" s="6" t="str">
        <f t="shared" si="118"/>
        <v>Active/Unavailable</v>
      </c>
      <c r="D408" s="5" t="s">
        <v>18</v>
      </c>
      <c r="E408" s="5" t="s">
        <v>1584</v>
      </c>
      <c r="F408" s="5" t="s">
        <v>336</v>
      </c>
      <c r="G408" s="5" t="str">
        <f t="shared" si="120"/>
        <v>Not Available</v>
      </c>
      <c r="H408" s="5" t="s">
        <v>1610</v>
      </c>
      <c r="I408" s="5" t="s">
        <v>22</v>
      </c>
      <c r="J408" s="5" t="s">
        <v>3387</v>
      </c>
      <c r="K408" s="5" t="s">
        <v>3393</v>
      </c>
      <c r="L408" s="5" t="s">
        <v>23</v>
      </c>
      <c r="M408" s="5" t="s">
        <v>3400</v>
      </c>
      <c r="N408" s="5" t="s">
        <v>1611</v>
      </c>
      <c r="O408" s="5" t="s">
        <v>209</v>
      </c>
      <c r="P408" s="5" t="s">
        <v>26</v>
      </c>
      <c r="Q408" s="5" t="s">
        <v>27</v>
      </c>
      <c r="R408" s="5">
        <v>2190</v>
      </c>
      <c r="S408" s="5">
        <v>42.2221905390047</v>
      </c>
      <c r="T408" s="5">
        <v>-70.931181629999998</v>
      </c>
    </row>
    <row r="409" spans="1:20" x14ac:dyDescent="0.3">
      <c r="A409" s="5" t="s">
        <v>1612</v>
      </c>
      <c r="B409" s="6">
        <v>19758</v>
      </c>
      <c r="C409" s="6" t="str">
        <f t="shared" si="118"/>
        <v>Active/Unavailable</v>
      </c>
      <c r="D409" s="5" t="s">
        <v>100</v>
      </c>
      <c r="E409" s="5" t="s">
        <v>3354</v>
      </c>
      <c r="F409" s="5" t="s">
        <v>1613</v>
      </c>
      <c r="G409" s="5" t="str">
        <f t="shared" si="120"/>
        <v>Not Available</v>
      </c>
      <c r="H409" s="5" t="str">
        <f t="shared" ref="H409:H411" si="122">"Not Available"</f>
        <v>Not Available</v>
      </c>
      <c r="I409" s="5" t="s">
        <v>65</v>
      </c>
      <c r="J409" s="5" t="s">
        <v>3387</v>
      </c>
      <c r="K409" s="5" t="s">
        <v>3394</v>
      </c>
      <c r="L409" s="5" t="s">
        <v>23</v>
      </c>
      <c r="M409" s="5" t="s">
        <v>3597</v>
      </c>
      <c r="N409" s="5" t="s">
        <v>1614</v>
      </c>
      <c r="O409" s="5" t="s">
        <v>33</v>
      </c>
      <c r="P409" s="5" t="s">
        <v>26</v>
      </c>
      <c r="Q409" s="5" t="s">
        <v>34</v>
      </c>
      <c r="R409" s="5">
        <v>2131</v>
      </c>
      <c r="S409" s="5">
        <v>42.366792385516</v>
      </c>
      <c r="T409" s="5">
        <v>-71.103300169999997</v>
      </c>
    </row>
    <row r="410" spans="1:20" x14ac:dyDescent="0.3">
      <c r="A410" s="5" t="s">
        <v>1615</v>
      </c>
      <c r="B410" s="6">
        <v>15091</v>
      </c>
      <c r="C410" s="6" t="str">
        <f t="shared" si="118"/>
        <v>Active/Unavailable</v>
      </c>
      <c r="D410" s="5" t="s">
        <v>29</v>
      </c>
      <c r="E410" s="5" t="s">
        <v>1616</v>
      </c>
      <c r="F410" s="5" t="s">
        <v>1529</v>
      </c>
      <c r="G410" s="5" t="str">
        <f t="shared" si="120"/>
        <v>Not Available</v>
      </c>
      <c r="H410" s="5" t="str">
        <f t="shared" si="122"/>
        <v>Not Available</v>
      </c>
      <c r="I410" s="5" t="s">
        <v>65</v>
      </c>
      <c r="J410" s="5" t="s">
        <v>3389</v>
      </c>
      <c r="K410" s="5" t="s">
        <v>3393</v>
      </c>
      <c r="L410" s="5" t="s">
        <v>22</v>
      </c>
      <c r="M410" s="5" t="s">
        <v>3540</v>
      </c>
      <c r="N410" s="5" t="s">
        <v>1617</v>
      </c>
      <c r="O410" s="5" t="s">
        <v>33</v>
      </c>
      <c r="P410" s="5" t="s">
        <v>26</v>
      </c>
      <c r="Q410" s="5" t="s">
        <v>34</v>
      </c>
      <c r="R410" s="5">
        <v>2127</v>
      </c>
      <c r="S410" s="5">
        <v>42.356751532172503</v>
      </c>
      <c r="T410" s="5">
        <v>-71.056477079999993</v>
      </c>
    </row>
    <row r="411" spans="1:20" x14ac:dyDescent="0.3">
      <c r="A411" s="5" t="s">
        <v>1618</v>
      </c>
      <c r="B411" s="6">
        <v>10309</v>
      </c>
      <c r="C411" s="6" t="str">
        <f t="shared" si="118"/>
        <v>Active/Unavailable</v>
      </c>
      <c r="D411" s="5" t="s">
        <v>100</v>
      </c>
      <c r="E411" s="5" t="s">
        <v>1619</v>
      </c>
      <c r="F411" s="5" t="s">
        <v>983</v>
      </c>
      <c r="G411" s="5" t="str">
        <f t="shared" si="120"/>
        <v>Not Available</v>
      </c>
      <c r="H411" s="5" t="str">
        <f t="shared" si="122"/>
        <v>Not Available</v>
      </c>
      <c r="I411" s="5" t="s">
        <v>65</v>
      </c>
      <c r="J411" s="5" t="s">
        <v>3387</v>
      </c>
      <c r="K411" s="5" t="s">
        <v>3393</v>
      </c>
      <c r="L411" s="5" t="s">
        <v>23</v>
      </c>
      <c r="M411" s="5" t="s">
        <v>3465</v>
      </c>
      <c r="N411" s="5" t="s">
        <v>1620</v>
      </c>
      <c r="O411" s="5" t="s">
        <v>33</v>
      </c>
      <c r="P411" s="5" t="s">
        <v>26</v>
      </c>
      <c r="Q411" s="5" t="s">
        <v>34</v>
      </c>
      <c r="R411" s="5">
        <v>2210</v>
      </c>
      <c r="S411" s="5">
        <v>42.348618701943302</v>
      </c>
      <c r="T411" s="5">
        <v>-71.109789860000006</v>
      </c>
    </row>
    <row r="412" spans="1:20" x14ac:dyDescent="0.3">
      <c r="A412" s="5" t="s">
        <v>1621</v>
      </c>
      <c r="B412" s="6">
        <v>16811</v>
      </c>
      <c r="C412" s="6">
        <v>41181</v>
      </c>
      <c r="D412" s="5" t="s">
        <v>18</v>
      </c>
      <c r="E412" s="5" t="s">
        <v>1622</v>
      </c>
      <c r="F412" s="5" t="s">
        <v>124</v>
      </c>
      <c r="G412" s="5" t="str">
        <f t="shared" si="120"/>
        <v>Not Available</v>
      </c>
      <c r="H412" s="5" t="s">
        <v>49</v>
      </c>
      <c r="I412" s="5" t="s">
        <v>22</v>
      </c>
      <c r="J412" s="5" t="s">
        <v>3387</v>
      </c>
      <c r="K412" s="5" t="s">
        <v>3393</v>
      </c>
      <c r="L412" s="5" t="s">
        <v>23</v>
      </c>
      <c r="M412" s="5" t="s">
        <v>3400</v>
      </c>
      <c r="N412" s="5" t="s">
        <v>1623</v>
      </c>
      <c r="O412" s="5" t="s">
        <v>33</v>
      </c>
      <c r="P412" s="5" t="s">
        <v>26</v>
      </c>
      <c r="Q412" s="5" t="s">
        <v>34</v>
      </c>
      <c r="R412" s="5">
        <v>2151</v>
      </c>
      <c r="S412" s="5">
        <v>42.343708974251101</v>
      </c>
      <c r="T412" s="5">
        <v>-71.062972340000002</v>
      </c>
    </row>
    <row r="413" spans="1:20" x14ac:dyDescent="0.3">
      <c r="A413" s="5" t="s">
        <v>1624</v>
      </c>
      <c r="B413" s="6">
        <v>10465</v>
      </c>
      <c r="C413" s="6">
        <v>42770</v>
      </c>
      <c r="D413" s="5" t="s">
        <v>29</v>
      </c>
      <c r="E413" s="5" t="s">
        <v>1199</v>
      </c>
      <c r="F413" s="5" t="s">
        <v>709</v>
      </c>
      <c r="G413" s="5" t="str">
        <f t="shared" si="120"/>
        <v>Not Available</v>
      </c>
      <c r="H413" s="5" t="str">
        <f t="shared" ref="H413:H414" si="123">"Not Available"</f>
        <v>Not Available</v>
      </c>
      <c r="I413" s="5" t="s">
        <v>22</v>
      </c>
      <c r="J413" s="5" t="s">
        <v>3387</v>
      </c>
      <c r="K413" s="5" t="s">
        <v>3393</v>
      </c>
      <c r="L413" s="5" t="s">
        <v>22</v>
      </c>
      <c r="M413" s="5" t="s">
        <v>3598</v>
      </c>
      <c r="N413" s="5" t="s">
        <v>1625</v>
      </c>
      <c r="O413" s="5" t="s">
        <v>33</v>
      </c>
      <c r="P413" s="5" t="s">
        <v>26</v>
      </c>
      <c r="Q413" s="5" t="s">
        <v>34</v>
      </c>
      <c r="R413" s="5">
        <v>2132</v>
      </c>
      <c r="S413" s="5">
        <v>42.358160953889801</v>
      </c>
      <c r="T413" s="5">
        <v>-71.03776628</v>
      </c>
    </row>
    <row r="414" spans="1:20" x14ac:dyDescent="0.3">
      <c r="A414" s="5" t="s">
        <v>1626</v>
      </c>
      <c r="B414" s="6">
        <v>14611</v>
      </c>
      <c r="C414" s="6" t="str">
        <f t="shared" ref="C414:C426" si="124">"Active/Unavailable"</f>
        <v>Active/Unavailable</v>
      </c>
      <c r="D414" s="5" t="s">
        <v>29</v>
      </c>
      <c r="E414" s="5" t="s">
        <v>1627</v>
      </c>
      <c r="F414" s="5" t="s">
        <v>668</v>
      </c>
      <c r="G414" s="5" t="str">
        <f t="shared" si="120"/>
        <v>Not Available</v>
      </c>
      <c r="H414" s="5" t="str">
        <f t="shared" si="123"/>
        <v>Not Available</v>
      </c>
      <c r="I414" s="5" t="s">
        <v>22</v>
      </c>
      <c r="J414" s="5" t="s">
        <v>3387</v>
      </c>
      <c r="K414" s="5" t="s">
        <v>3393</v>
      </c>
      <c r="L414" s="5" t="s">
        <v>22</v>
      </c>
      <c r="M414" s="5" t="s">
        <v>3400</v>
      </c>
      <c r="N414" s="5" t="s">
        <v>1628</v>
      </c>
      <c r="O414" s="5" t="s">
        <v>33</v>
      </c>
      <c r="P414" s="5" t="s">
        <v>26</v>
      </c>
      <c r="Q414" s="5" t="s">
        <v>34</v>
      </c>
      <c r="R414" s="5">
        <v>2118</v>
      </c>
      <c r="S414" s="5">
        <v>42.314109046770902</v>
      </c>
      <c r="T414" s="5">
        <v>-71.022239760000005</v>
      </c>
    </row>
    <row r="415" spans="1:20" x14ac:dyDescent="0.3">
      <c r="A415" s="5" t="s">
        <v>1629</v>
      </c>
      <c r="B415" s="6">
        <v>16811</v>
      </c>
      <c r="C415" s="6" t="str">
        <f t="shared" si="124"/>
        <v>Active/Unavailable</v>
      </c>
      <c r="D415" s="5" t="s">
        <v>18</v>
      </c>
      <c r="E415" s="5" t="s">
        <v>1630</v>
      </c>
      <c r="F415" s="5" t="s">
        <v>1631</v>
      </c>
      <c r="G415" s="5" t="str">
        <f t="shared" si="120"/>
        <v>Not Available</v>
      </c>
      <c r="H415" s="5" t="s">
        <v>890</v>
      </c>
      <c r="I415" s="5" t="s">
        <v>22</v>
      </c>
      <c r="J415" s="5" t="s">
        <v>3387</v>
      </c>
      <c r="K415" s="5" t="s">
        <v>3393</v>
      </c>
      <c r="L415" s="5" t="s">
        <v>23</v>
      </c>
      <c r="M415" s="5" t="s">
        <v>3599</v>
      </c>
      <c r="N415" s="5" t="s">
        <v>1632</v>
      </c>
      <c r="O415" s="5" t="s">
        <v>33</v>
      </c>
      <c r="P415" s="5" t="s">
        <v>26</v>
      </c>
      <c r="Q415" s="5" t="s">
        <v>34</v>
      </c>
      <c r="R415" s="5">
        <v>2163</v>
      </c>
      <c r="S415" s="5">
        <v>42.371918273454803</v>
      </c>
      <c r="T415" s="5">
        <v>-71.037264160000007</v>
      </c>
    </row>
    <row r="416" spans="1:20" x14ac:dyDescent="0.3">
      <c r="A416" s="5" t="s">
        <v>1633</v>
      </c>
      <c r="B416" s="6">
        <v>22343</v>
      </c>
      <c r="C416" s="6" t="str">
        <f t="shared" si="124"/>
        <v>Active/Unavailable</v>
      </c>
      <c r="D416" s="5" t="s">
        <v>18</v>
      </c>
      <c r="E416" s="5" t="s">
        <v>1634</v>
      </c>
      <c r="F416" s="5" t="s">
        <v>1157</v>
      </c>
      <c r="G416" s="5" t="str">
        <f t="shared" si="120"/>
        <v>Not Available</v>
      </c>
      <c r="H416" s="5" t="s">
        <v>930</v>
      </c>
      <c r="I416" s="5" t="s">
        <v>22</v>
      </c>
      <c r="J416" s="5" t="s">
        <v>3387</v>
      </c>
      <c r="K416" s="5" t="s">
        <v>3393</v>
      </c>
      <c r="L416" s="5" t="s">
        <v>23</v>
      </c>
      <c r="M416" s="5" t="s">
        <v>3600</v>
      </c>
      <c r="N416" s="5" t="s">
        <v>1635</v>
      </c>
      <c r="O416" s="5" t="s">
        <v>33</v>
      </c>
      <c r="P416" s="5" t="s">
        <v>26</v>
      </c>
      <c r="Q416" s="5" t="s">
        <v>34</v>
      </c>
      <c r="R416" s="5">
        <v>2116</v>
      </c>
      <c r="S416" s="5">
        <v>42.369614145194603</v>
      </c>
      <c r="T416" s="5">
        <v>-71.015428630000002</v>
      </c>
    </row>
    <row r="417" spans="1:20" x14ac:dyDescent="0.3">
      <c r="A417" s="5" t="s">
        <v>1636</v>
      </c>
      <c r="B417" s="6">
        <v>10231</v>
      </c>
      <c r="C417" s="6" t="str">
        <f t="shared" si="124"/>
        <v>Active/Unavailable</v>
      </c>
      <c r="D417" s="5" t="s">
        <v>29</v>
      </c>
      <c r="E417" s="5" t="s">
        <v>1637</v>
      </c>
      <c r="F417" s="5" t="s">
        <v>497</v>
      </c>
      <c r="G417" s="5" t="s">
        <v>398</v>
      </c>
      <c r="H417" s="5" t="str">
        <f>"Not Available"</f>
        <v>Not Available</v>
      </c>
      <c r="I417" s="5" t="s">
        <v>65</v>
      </c>
      <c r="J417" s="5" t="s">
        <v>3389</v>
      </c>
      <c r="K417" s="5" t="s">
        <v>3393</v>
      </c>
      <c r="L417" s="5" t="s">
        <v>22</v>
      </c>
      <c r="M417" s="5" t="s">
        <v>3499</v>
      </c>
      <c r="N417" s="5" t="s">
        <v>1638</v>
      </c>
      <c r="O417" s="5" t="s">
        <v>88</v>
      </c>
      <c r="P417" s="5" t="s">
        <v>26</v>
      </c>
      <c r="Q417" s="5" t="s">
        <v>57</v>
      </c>
      <c r="R417" s="5">
        <v>2145</v>
      </c>
      <c r="S417" s="5">
        <v>42.392167094458401</v>
      </c>
      <c r="T417" s="5">
        <v>-71.106934839999994</v>
      </c>
    </row>
    <row r="418" spans="1:20" x14ac:dyDescent="0.3">
      <c r="A418" s="5" t="s">
        <v>1639</v>
      </c>
      <c r="B418" s="6">
        <v>8651</v>
      </c>
      <c r="C418" s="6" t="str">
        <f t="shared" si="124"/>
        <v>Active/Unavailable</v>
      </c>
      <c r="D418" s="5" t="s">
        <v>18</v>
      </c>
      <c r="E418" s="5" t="s">
        <v>561</v>
      </c>
      <c r="F418" s="5" t="s">
        <v>1640</v>
      </c>
      <c r="G418" s="5" t="str">
        <f t="shared" ref="G418:G445" si="125">"Not Available"</f>
        <v>Not Available</v>
      </c>
      <c r="H418" s="5" t="s">
        <v>1641</v>
      </c>
      <c r="I418" s="5" t="s">
        <v>22</v>
      </c>
      <c r="J418" s="5" t="s">
        <v>3389</v>
      </c>
      <c r="K418" s="5" t="s">
        <v>3394</v>
      </c>
      <c r="L418" s="5" t="s">
        <v>23</v>
      </c>
      <c r="M418" s="5" t="s">
        <v>3601</v>
      </c>
      <c r="N418" s="5" t="s">
        <v>1642</v>
      </c>
      <c r="O418" s="5" t="s">
        <v>172</v>
      </c>
      <c r="P418" s="5" t="s">
        <v>26</v>
      </c>
      <c r="Q418" s="5" t="s">
        <v>34</v>
      </c>
      <c r="R418" s="5">
        <v>2149</v>
      </c>
      <c r="S418" s="5">
        <v>42.3618796506561</v>
      </c>
      <c r="T418" s="5">
        <v>-71.015231159999999</v>
      </c>
    </row>
    <row r="419" spans="1:20" x14ac:dyDescent="0.3">
      <c r="A419" s="5" t="s">
        <v>1643</v>
      </c>
      <c r="B419" s="6">
        <v>23584</v>
      </c>
      <c r="C419" s="6" t="str">
        <f t="shared" si="124"/>
        <v>Active/Unavailable</v>
      </c>
      <c r="D419" s="5" t="s">
        <v>18</v>
      </c>
      <c r="E419" s="5" t="s">
        <v>1644</v>
      </c>
      <c r="F419" s="5" t="s">
        <v>1645</v>
      </c>
      <c r="G419" s="5" t="str">
        <f t="shared" si="125"/>
        <v>Not Available</v>
      </c>
      <c r="H419" s="5" t="s">
        <v>1509</v>
      </c>
      <c r="I419" s="5" t="s">
        <v>22</v>
      </c>
      <c r="J419" s="5" t="s">
        <v>3387</v>
      </c>
      <c r="K419" s="5" t="s">
        <v>3393</v>
      </c>
      <c r="L419" s="5" t="s">
        <v>23</v>
      </c>
      <c r="M419" s="5" t="s">
        <v>3463</v>
      </c>
      <c r="N419" s="5" t="s">
        <v>1646</v>
      </c>
      <c r="O419" s="5" t="s">
        <v>33</v>
      </c>
      <c r="P419" s="5" t="s">
        <v>26</v>
      </c>
      <c r="Q419" s="5" t="s">
        <v>34</v>
      </c>
      <c r="R419" s="5">
        <v>2121</v>
      </c>
      <c r="S419" s="5">
        <v>42.371719097169901</v>
      </c>
      <c r="T419" s="5">
        <v>-71.051154679999996</v>
      </c>
    </row>
    <row r="420" spans="1:20" x14ac:dyDescent="0.3">
      <c r="A420" s="7" t="s">
        <v>1647</v>
      </c>
      <c r="B420" s="6">
        <v>20896</v>
      </c>
      <c r="C420" s="6" t="str">
        <f t="shared" si="124"/>
        <v>Active/Unavailable</v>
      </c>
      <c r="D420" s="5" t="s">
        <v>29</v>
      </c>
      <c r="E420" s="5" t="s">
        <v>450</v>
      </c>
      <c r="F420" s="5" t="s">
        <v>1103</v>
      </c>
      <c r="G420" s="5" t="str">
        <f t="shared" si="125"/>
        <v>Not Available</v>
      </c>
      <c r="H420" s="5" t="str">
        <f t="shared" ref="H420:H421" si="126">"Not Available"</f>
        <v>Not Available</v>
      </c>
      <c r="I420" s="5" t="s">
        <v>65</v>
      </c>
      <c r="J420" s="5" t="s">
        <v>3387</v>
      </c>
      <c r="K420" s="5" t="s">
        <v>3393</v>
      </c>
      <c r="L420" s="5" t="s">
        <v>22</v>
      </c>
      <c r="M420" s="5" t="s">
        <v>3402</v>
      </c>
      <c r="N420" s="5" t="s">
        <v>1648</v>
      </c>
      <c r="O420" s="5" t="s">
        <v>25</v>
      </c>
      <c r="P420" s="5" t="s">
        <v>26</v>
      </c>
      <c r="Q420" s="5" t="s">
        <v>27</v>
      </c>
      <c r="R420" s="5">
        <v>2169</v>
      </c>
      <c r="S420" s="5">
        <v>42.280544419999998</v>
      </c>
      <c r="T420" s="5">
        <v>-70.972775310000003</v>
      </c>
    </row>
    <row r="421" spans="1:20" x14ac:dyDescent="0.3">
      <c r="A421" s="5" t="s">
        <v>1649</v>
      </c>
      <c r="B421" s="6">
        <v>25527</v>
      </c>
      <c r="C421" s="6" t="str">
        <f t="shared" si="124"/>
        <v>Active/Unavailable</v>
      </c>
      <c r="D421" s="5" t="s">
        <v>29</v>
      </c>
      <c r="E421" s="5" t="s">
        <v>1650</v>
      </c>
      <c r="F421" s="5" t="s">
        <v>1245</v>
      </c>
      <c r="G421" s="5" t="str">
        <f t="shared" si="125"/>
        <v>Not Available</v>
      </c>
      <c r="H421" s="5" t="str">
        <f t="shared" si="126"/>
        <v>Not Available</v>
      </c>
      <c r="I421" s="5" t="s">
        <v>22</v>
      </c>
      <c r="J421" s="5" t="s">
        <v>3388</v>
      </c>
      <c r="K421" s="5" t="s">
        <v>3393</v>
      </c>
      <c r="L421" s="5" t="s">
        <v>22</v>
      </c>
      <c r="M421" s="5" t="s">
        <v>3602</v>
      </c>
      <c r="N421" s="5" t="s">
        <v>1651</v>
      </c>
      <c r="O421" s="5" t="s">
        <v>33</v>
      </c>
      <c r="P421" s="5" t="s">
        <v>26</v>
      </c>
      <c r="Q421" s="5" t="s">
        <v>34</v>
      </c>
      <c r="R421" s="5">
        <v>2118</v>
      </c>
      <c r="S421" s="5">
        <v>42.330717821708198</v>
      </c>
      <c r="T421" s="5">
        <v>-71.12608487</v>
      </c>
    </row>
    <row r="422" spans="1:20" x14ac:dyDescent="0.3">
      <c r="A422" s="5" t="s">
        <v>1652</v>
      </c>
      <c r="B422" s="6">
        <v>18358</v>
      </c>
      <c r="C422" s="6" t="str">
        <f t="shared" si="124"/>
        <v>Active/Unavailable</v>
      </c>
      <c r="D422" s="5" t="s">
        <v>18</v>
      </c>
      <c r="E422" s="5" t="s">
        <v>1653</v>
      </c>
      <c r="F422" s="5" t="s">
        <v>1654</v>
      </c>
      <c r="G422" s="5" t="str">
        <f t="shared" si="125"/>
        <v>Not Available</v>
      </c>
      <c r="H422" s="5" t="s">
        <v>1610</v>
      </c>
      <c r="I422" s="5" t="s">
        <v>22</v>
      </c>
      <c r="J422" s="5" t="s">
        <v>3389</v>
      </c>
      <c r="K422" s="5" t="s">
        <v>3393</v>
      </c>
      <c r="L422" s="5" t="s">
        <v>23</v>
      </c>
      <c r="M422" s="5" t="s">
        <v>3452</v>
      </c>
      <c r="N422" s="5" t="s">
        <v>1655</v>
      </c>
      <c r="O422" s="5" t="s">
        <v>56</v>
      </c>
      <c r="P422" s="5" t="s">
        <v>26</v>
      </c>
      <c r="Q422" s="5" t="s">
        <v>57</v>
      </c>
      <c r="R422" s="5">
        <v>2139</v>
      </c>
      <c r="S422" s="5">
        <v>42.330328213478197</v>
      </c>
      <c r="T422" s="5">
        <v>-71.14268921</v>
      </c>
    </row>
    <row r="423" spans="1:20" x14ac:dyDescent="0.3">
      <c r="A423" s="5" t="s">
        <v>1656</v>
      </c>
      <c r="B423" s="6">
        <v>30526</v>
      </c>
      <c r="C423" s="6" t="str">
        <f t="shared" si="124"/>
        <v>Active/Unavailable</v>
      </c>
      <c r="D423" s="5" t="s">
        <v>29</v>
      </c>
      <c r="E423" s="5" t="s">
        <v>1657</v>
      </c>
      <c r="F423" s="5" t="s">
        <v>609</v>
      </c>
      <c r="G423" s="5" t="str">
        <f t="shared" si="125"/>
        <v>Not Available</v>
      </c>
      <c r="H423" s="5" t="str">
        <f>"Not Available"</f>
        <v>Not Available</v>
      </c>
      <c r="I423" s="5" t="s">
        <v>65</v>
      </c>
      <c r="J423" s="5" t="s">
        <v>3388</v>
      </c>
      <c r="K423" s="5" t="s">
        <v>3394</v>
      </c>
      <c r="L423" s="5" t="s">
        <v>22</v>
      </c>
      <c r="M423" s="5" t="s">
        <v>3447</v>
      </c>
      <c r="N423" s="5" t="s">
        <v>1658</v>
      </c>
      <c r="O423" s="5" t="s">
        <v>33</v>
      </c>
      <c r="P423" s="5" t="s">
        <v>26</v>
      </c>
      <c r="Q423" s="5" t="s">
        <v>34</v>
      </c>
      <c r="R423" s="5">
        <v>2116</v>
      </c>
      <c r="S423" s="5">
        <v>42.270527298029201</v>
      </c>
      <c r="T423" s="5">
        <v>-70.997149730000004</v>
      </c>
    </row>
    <row r="424" spans="1:20" x14ac:dyDescent="0.3">
      <c r="A424" s="5" t="s">
        <v>1659</v>
      </c>
      <c r="B424" s="6">
        <v>27781</v>
      </c>
      <c r="C424" s="6" t="str">
        <f t="shared" si="124"/>
        <v>Active/Unavailable</v>
      </c>
      <c r="D424" s="5" t="s">
        <v>18</v>
      </c>
      <c r="E424" s="5" t="s">
        <v>1660</v>
      </c>
      <c r="F424" s="5" t="s">
        <v>1661</v>
      </c>
      <c r="G424" s="5" t="str">
        <f t="shared" si="125"/>
        <v>Not Available</v>
      </c>
      <c r="H424" s="5" t="s">
        <v>1662</v>
      </c>
      <c r="I424" s="5" t="s">
        <v>22</v>
      </c>
      <c r="J424" s="5" t="s">
        <v>3387</v>
      </c>
      <c r="K424" s="5" t="s">
        <v>3394</v>
      </c>
      <c r="L424" s="5" t="s">
        <v>23</v>
      </c>
      <c r="M424" s="5" t="s">
        <v>3603</v>
      </c>
      <c r="N424" s="5" t="s">
        <v>1663</v>
      </c>
      <c r="O424" s="5" t="s">
        <v>33</v>
      </c>
      <c r="P424" s="5" t="s">
        <v>26</v>
      </c>
      <c r="Q424" s="5" t="s">
        <v>34</v>
      </c>
      <c r="R424" s="5">
        <v>2125</v>
      </c>
      <c r="S424" s="5">
        <v>42.305786164002903</v>
      </c>
      <c r="T424" s="5">
        <v>-71.052015310000002</v>
      </c>
    </row>
    <row r="425" spans="1:20" x14ac:dyDescent="0.3">
      <c r="A425" s="5" t="s">
        <v>1664</v>
      </c>
      <c r="B425" s="6">
        <v>29579</v>
      </c>
      <c r="C425" s="6" t="str">
        <f t="shared" si="124"/>
        <v>Active/Unavailable</v>
      </c>
      <c r="D425" s="5" t="s">
        <v>100</v>
      </c>
      <c r="E425" s="5" t="s">
        <v>1665</v>
      </c>
      <c r="F425" s="5" t="s">
        <v>308</v>
      </c>
      <c r="G425" s="5" t="str">
        <f t="shared" si="125"/>
        <v>Not Available</v>
      </c>
      <c r="H425" s="5" t="str">
        <f>"Not Available"</f>
        <v>Not Available</v>
      </c>
      <c r="I425" s="5" t="s">
        <v>65</v>
      </c>
      <c r="J425" s="5" t="s">
        <v>3387</v>
      </c>
      <c r="K425" s="5" t="s">
        <v>3393</v>
      </c>
      <c r="L425" s="5" t="s">
        <v>23</v>
      </c>
      <c r="M425" s="5" t="s">
        <v>3447</v>
      </c>
      <c r="N425" s="5" t="s">
        <v>1666</v>
      </c>
      <c r="O425" s="5" t="s">
        <v>373</v>
      </c>
      <c r="P425" s="5" t="s">
        <v>26</v>
      </c>
      <c r="Q425" s="5" t="s">
        <v>57</v>
      </c>
      <c r="R425" s="5">
        <v>2145</v>
      </c>
      <c r="S425" s="5">
        <v>42.381010008160999</v>
      </c>
      <c r="T425" s="5">
        <v>-71.053451249999995</v>
      </c>
    </row>
    <row r="426" spans="1:20" x14ac:dyDescent="0.3">
      <c r="A426" s="5" t="s">
        <v>1667</v>
      </c>
      <c r="B426" s="6">
        <v>17256</v>
      </c>
      <c r="C426" s="6" t="str">
        <f t="shared" si="124"/>
        <v>Active/Unavailable</v>
      </c>
      <c r="D426" s="5" t="s">
        <v>18</v>
      </c>
      <c r="E426" s="5" t="s">
        <v>1668</v>
      </c>
      <c r="F426" s="5" t="s">
        <v>414</v>
      </c>
      <c r="G426" s="5" t="str">
        <f t="shared" si="125"/>
        <v>Not Available</v>
      </c>
      <c r="H426" s="5" t="s">
        <v>1654</v>
      </c>
      <c r="I426" s="5" t="s">
        <v>22</v>
      </c>
      <c r="J426" s="5" t="s">
        <v>3387</v>
      </c>
      <c r="K426" s="5" t="s">
        <v>3393</v>
      </c>
      <c r="L426" s="5" t="s">
        <v>23</v>
      </c>
      <c r="M426" s="5" t="s">
        <v>3482</v>
      </c>
      <c r="N426" s="5" t="s">
        <v>1669</v>
      </c>
      <c r="O426" s="5" t="s">
        <v>33</v>
      </c>
      <c r="P426" s="5" t="s">
        <v>26</v>
      </c>
      <c r="Q426" s="5" t="s">
        <v>34</v>
      </c>
      <c r="R426" s="5">
        <v>2122</v>
      </c>
      <c r="S426" s="5">
        <v>42.385045874012498</v>
      </c>
      <c r="T426" s="5">
        <v>-71.033489729999999</v>
      </c>
    </row>
    <row r="427" spans="1:20" x14ac:dyDescent="0.3">
      <c r="A427" s="5" t="s">
        <v>1670</v>
      </c>
      <c r="B427" s="6">
        <v>19810</v>
      </c>
      <c r="C427" s="6">
        <v>43699</v>
      </c>
      <c r="D427" s="5" t="s">
        <v>18</v>
      </c>
      <c r="E427" s="5" t="s">
        <v>1671</v>
      </c>
      <c r="F427" s="5" t="s">
        <v>1672</v>
      </c>
      <c r="G427" s="5" t="str">
        <f t="shared" si="125"/>
        <v>Not Available</v>
      </c>
      <c r="H427" s="5" t="s">
        <v>1673</v>
      </c>
      <c r="I427" s="5" t="s">
        <v>22</v>
      </c>
      <c r="J427" s="5" t="s">
        <v>3387</v>
      </c>
      <c r="K427" s="5" t="s">
        <v>3393</v>
      </c>
      <c r="L427" s="5" t="s">
        <v>23</v>
      </c>
      <c r="M427" s="5" t="s">
        <v>3604</v>
      </c>
      <c r="N427" s="5" t="s">
        <v>1674</v>
      </c>
      <c r="O427" s="5" t="s">
        <v>33</v>
      </c>
      <c r="P427" s="5" t="s">
        <v>26</v>
      </c>
      <c r="Q427" s="5" t="s">
        <v>34</v>
      </c>
      <c r="R427" s="5">
        <v>2109</v>
      </c>
      <c r="S427" s="5">
        <v>42.375836748780102</v>
      </c>
      <c r="T427" s="5">
        <v>-70.939501210000003</v>
      </c>
    </row>
    <row r="428" spans="1:20" x14ac:dyDescent="0.3">
      <c r="A428" s="5" t="s">
        <v>1675</v>
      </c>
      <c r="B428" s="6">
        <v>13098</v>
      </c>
      <c r="C428" s="6" t="str">
        <f t="shared" ref="C428:C439" si="127">"Active/Unavailable"</f>
        <v>Active/Unavailable</v>
      </c>
      <c r="D428" s="5" t="s">
        <v>29</v>
      </c>
      <c r="E428" s="5" t="s">
        <v>1676</v>
      </c>
      <c r="F428" s="5" t="s">
        <v>1677</v>
      </c>
      <c r="G428" s="5" t="str">
        <f t="shared" si="125"/>
        <v>Not Available</v>
      </c>
      <c r="H428" s="5" t="str">
        <f>"Not Available"</f>
        <v>Not Available</v>
      </c>
      <c r="I428" s="5" t="s">
        <v>65</v>
      </c>
      <c r="J428" s="5" t="s">
        <v>3387</v>
      </c>
      <c r="K428" s="5" t="s">
        <v>3393</v>
      </c>
      <c r="L428" s="5" t="s">
        <v>22</v>
      </c>
      <c r="M428" s="5" t="s">
        <v>3492</v>
      </c>
      <c r="N428" s="5" t="s">
        <v>1678</v>
      </c>
      <c r="O428" s="5" t="s">
        <v>486</v>
      </c>
      <c r="P428" s="5" t="s">
        <v>26</v>
      </c>
      <c r="Q428" s="5" t="s">
        <v>34</v>
      </c>
      <c r="R428" s="5" t="str">
        <f>"0000"</f>
        <v>0000</v>
      </c>
      <c r="S428" s="5">
        <v>42.356559561190601</v>
      </c>
      <c r="T428" s="5">
        <v>-70.953922059999996</v>
      </c>
    </row>
    <row r="429" spans="1:20" x14ac:dyDescent="0.3">
      <c r="A429" s="5" t="s">
        <v>1679</v>
      </c>
      <c r="B429" s="6">
        <v>12189</v>
      </c>
      <c r="C429" s="6" t="str">
        <f t="shared" si="127"/>
        <v>Active/Unavailable</v>
      </c>
      <c r="D429" s="5" t="s">
        <v>18</v>
      </c>
      <c r="E429" s="5" t="s">
        <v>1680</v>
      </c>
      <c r="F429" s="5" t="s">
        <v>572</v>
      </c>
      <c r="G429" s="5" t="str">
        <f t="shared" si="125"/>
        <v>Not Available</v>
      </c>
      <c r="H429" s="5" t="s">
        <v>1269</v>
      </c>
      <c r="I429" s="5" t="s">
        <v>22</v>
      </c>
      <c r="J429" s="5" t="s">
        <v>3388</v>
      </c>
      <c r="K429" s="5" t="s">
        <v>3394</v>
      </c>
      <c r="L429" s="5" t="s">
        <v>23</v>
      </c>
      <c r="M429" s="5" t="s">
        <v>3576</v>
      </c>
      <c r="N429" s="5" t="s">
        <v>1681</v>
      </c>
      <c r="O429" s="5" t="s">
        <v>33</v>
      </c>
      <c r="P429" s="5" t="s">
        <v>26</v>
      </c>
      <c r="Q429" s="5" t="s">
        <v>34</v>
      </c>
      <c r="R429" s="5">
        <v>2467</v>
      </c>
      <c r="S429" s="5">
        <v>42.399237109779897</v>
      </c>
      <c r="T429" s="5">
        <v>-71.019996149999997</v>
      </c>
    </row>
    <row r="430" spans="1:20" x14ac:dyDescent="0.3">
      <c r="A430" s="5" t="s">
        <v>1682</v>
      </c>
      <c r="B430" s="6">
        <v>11857</v>
      </c>
      <c r="C430" s="6" t="str">
        <f t="shared" si="127"/>
        <v>Active/Unavailable</v>
      </c>
      <c r="D430" s="5" t="s">
        <v>18</v>
      </c>
      <c r="E430" s="5" t="s">
        <v>1683</v>
      </c>
      <c r="F430" s="5" t="s">
        <v>133</v>
      </c>
      <c r="G430" s="5" t="str">
        <f t="shared" si="125"/>
        <v>Not Available</v>
      </c>
      <c r="H430" s="5" t="s">
        <v>1684</v>
      </c>
      <c r="I430" s="5" t="s">
        <v>22</v>
      </c>
      <c r="J430" s="5" t="s">
        <v>3388</v>
      </c>
      <c r="K430" s="5" t="s">
        <v>3393</v>
      </c>
      <c r="L430" s="5" t="s">
        <v>23</v>
      </c>
      <c r="M430" s="5" t="s">
        <v>3520</v>
      </c>
      <c r="N430" s="5" t="s">
        <v>1685</v>
      </c>
      <c r="O430" s="5" t="s">
        <v>33</v>
      </c>
      <c r="P430" s="5" t="s">
        <v>26</v>
      </c>
      <c r="Q430" s="5" t="s">
        <v>34</v>
      </c>
      <c r="R430" s="5">
        <v>2152</v>
      </c>
      <c r="S430" s="5">
        <v>42.339397661626897</v>
      </c>
      <c r="T430" s="5">
        <v>-71.137744710000007</v>
      </c>
    </row>
    <row r="431" spans="1:20" x14ac:dyDescent="0.3">
      <c r="A431" s="5" t="s">
        <v>1686</v>
      </c>
      <c r="B431" s="6">
        <v>23656</v>
      </c>
      <c r="C431" s="6" t="str">
        <f t="shared" si="127"/>
        <v>Active/Unavailable</v>
      </c>
      <c r="D431" s="5" t="s">
        <v>18</v>
      </c>
      <c r="E431" s="5" t="s">
        <v>1687</v>
      </c>
      <c r="F431" s="5" t="s">
        <v>308</v>
      </c>
      <c r="G431" s="5" t="str">
        <f t="shared" si="125"/>
        <v>Not Available</v>
      </c>
      <c r="H431" s="5" t="s">
        <v>1688</v>
      </c>
      <c r="I431" s="5" t="s">
        <v>22</v>
      </c>
      <c r="J431" s="5" t="s">
        <v>3387</v>
      </c>
      <c r="K431" s="5" t="s">
        <v>3393</v>
      </c>
      <c r="L431" s="5" t="s">
        <v>23</v>
      </c>
      <c r="M431" s="5" t="s">
        <v>3527</v>
      </c>
      <c r="N431" s="5" t="s">
        <v>1689</v>
      </c>
      <c r="O431" s="5" t="s">
        <v>209</v>
      </c>
      <c r="P431" s="5" t="s">
        <v>26</v>
      </c>
      <c r="Q431" s="5" t="s">
        <v>27</v>
      </c>
      <c r="R431" s="5" t="str">
        <f>"0000"</f>
        <v>0000</v>
      </c>
      <c r="S431" s="5">
        <v>42.209342068264299</v>
      </c>
      <c r="T431" s="5">
        <v>-70.910016479999996</v>
      </c>
    </row>
    <row r="432" spans="1:20" x14ac:dyDescent="0.3">
      <c r="A432" s="5" t="s">
        <v>1690</v>
      </c>
      <c r="B432" s="6">
        <v>21501</v>
      </c>
      <c r="C432" s="6" t="str">
        <f t="shared" si="127"/>
        <v>Active/Unavailable</v>
      </c>
      <c r="D432" s="5" t="s">
        <v>100</v>
      </c>
      <c r="E432" s="5" t="s">
        <v>1691</v>
      </c>
      <c r="F432" s="5" t="s">
        <v>1692</v>
      </c>
      <c r="G432" s="5" t="str">
        <f t="shared" si="125"/>
        <v>Not Available</v>
      </c>
      <c r="H432" s="5" t="str">
        <f t="shared" ref="H432:H436" si="128">"Not Available"</f>
        <v>Not Available</v>
      </c>
      <c r="I432" s="5" t="s">
        <v>65</v>
      </c>
      <c r="J432" s="5" t="s">
        <v>3387</v>
      </c>
      <c r="K432" s="5" t="s">
        <v>3393</v>
      </c>
      <c r="L432" s="5" t="s">
        <v>23</v>
      </c>
      <c r="M432" s="5" t="s">
        <v>3470</v>
      </c>
      <c r="N432" s="5" t="s">
        <v>1693</v>
      </c>
      <c r="O432" s="5" t="s">
        <v>172</v>
      </c>
      <c r="P432" s="5" t="s">
        <v>26</v>
      </c>
      <c r="Q432" s="5" t="s">
        <v>34</v>
      </c>
      <c r="R432" s="5">
        <v>2151</v>
      </c>
      <c r="S432" s="5">
        <v>42.372322246805702</v>
      </c>
      <c r="T432" s="5">
        <v>-71.103328899999994</v>
      </c>
    </row>
    <row r="433" spans="1:20" x14ac:dyDescent="0.3">
      <c r="A433" s="5" t="s">
        <v>1694</v>
      </c>
      <c r="B433" s="6">
        <v>19300</v>
      </c>
      <c r="C433" s="6" t="str">
        <f t="shared" si="127"/>
        <v>Active/Unavailable</v>
      </c>
      <c r="D433" s="5" t="s">
        <v>29</v>
      </c>
      <c r="E433" s="5" t="s">
        <v>1695</v>
      </c>
      <c r="F433" s="5" t="s">
        <v>175</v>
      </c>
      <c r="G433" s="5" t="str">
        <f t="shared" si="125"/>
        <v>Not Available</v>
      </c>
      <c r="H433" s="5" t="str">
        <f t="shared" si="128"/>
        <v>Not Available</v>
      </c>
      <c r="I433" s="5" t="s">
        <v>22</v>
      </c>
      <c r="J433" s="5" t="s">
        <v>3387</v>
      </c>
      <c r="K433" s="5" t="s">
        <v>3393</v>
      </c>
      <c r="L433" s="5" t="s">
        <v>22</v>
      </c>
      <c r="M433" s="5" t="s">
        <v>3582</v>
      </c>
      <c r="N433" s="5" t="s">
        <v>1696</v>
      </c>
      <c r="O433" s="5" t="s">
        <v>587</v>
      </c>
      <c r="P433" s="5" t="s">
        <v>26</v>
      </c>
      <c r="Q433" s="5" t="s">
        <v>27</v>
      </c>
      <c r="R433" s="5">
        <v>2184</v>
      </c>
      <c r="S433" s="5">
        <v>42.2519386034568</v>
      </c>
      <c r="T433" s="5">
        <v>-70.990535289999997</v>
      </c>
    </row>
    <row r="434" spans="1:20" x14ac:dyDescent="0.3">
      <c r="A434" s="5" t="s">
        <v>1697</v>
      </c>
      <c r="B434" s="6">
        <v>22806</v>
      </c>
      <c r="C434" s="6" t="str">
        <f t="shared" si="127"/>
        <v>Active/Unavailable</v>
      </c>
      <c r="D434" s="5" t="s">
        <v>29</v>
      </c>
      <c r="E434" s="5" t="s">
        <v>1698</v>
      </c>
      <c r="F434" s="5" t="s">
        <v>286</v>
      </c>
      <c r="G434" s="5" t="str">
        <f t="shared" si="125"/>
        <v>Not Available</v>
      </c>
      <c r="H434" s="5" t="str">
        <f t="shared" si="128"/>
        <v>Not Available</v>
      </c>
      <c r="I434" s="5" t="s">
        <v>22</v>
      </c>
      <c r="J434" s="5" t="s">
        <v>3387</v>
      </c>
      <c r="K434" s="5" t="s">
        <v>3393</v>
      </c>
      <c r="L434" s="5" t="s">
        <v>22</v>
      </c>
      <c r="M434" s="5" t="s">
        <v>3457</v>
      </c>
      <c r="N434" s="5" t="s">
        <v>1699</v>
      </c>
      <c r="O434" s="5" t="s">
        <v>316</v>
      </c>
      <c r="P434" s="5" t="s">
        <v>26</v>
      </c>
      <c r="Q434" s="5" t="s">
        <v>317</v>
      </c>
      <c r="R434" s="5" t="str">
        <f>"0000"</f>
        <v>0000</v>
      </c>
      <c r="S434" s="5">
        <v>42.214358456625497</v>
      </c>
      <c r="T434" s="5">
        <v>-70.924225820000004</v>
      </c>
    </row>
    <row r="435" spans="1:20" x14ac:dyDescent="0.3">
      <c r="A435" s="5" t="s">
        <v>1700</v>
      </c>
      <c r="B435" s="6">
        <v>25329</v>
      </c>
      <c r="C435" s="6" t="str">
        <f t="shared" si="127"/>
        <v>Active/Unavailable</v>
      </c>
      <c r="D435" s="5" t="s">
        <v>29</v>
      </c>
      <c r="E435" s="5" t="s">
        <v>1058</v>
      </c>
      <c r="F435" s="5" t="s">
        <v>1701</v>
      </c>
      <c r="G435" s="5" t="str">
        <f t="shared" si="125"/>
        <v>Not Available</v>
      </c>
      <c r="H435" s="5" t="str">
        <f t="shared" si="128"/>
        <v>Not Available</v>
      </c>
      <c r="I435" s="5" t="s">
        <v>65</v>
      </c>
      <c r="J435" s="5" t="s">
        <v>3387</v>
      </c>
      <c r="K435" s="5" t="s">
        <v>3393</v>
      </c>
      <c r="L435" s="5" t="s">
        <v>22</v>
      </c>
      <c r="M435" s="5" t="s">
        <v>3605</v>
      </c>
      <c r="N435" s="5" t="s">
        <v>1702</v>
      </c>
      <c r="O435" s="5" t="s">
        <v>33</v>
      </c>
      <c r="P435" s="5" t="s">
        <v>26</v>
      </c>
      <c r="Q435" s="5" t="s">
        <v>34</v>
      </c>
      <c r="R435" s="5">
        <v>2210</v>
      </c>
      <c r="S435" s="5">
        <v>42.313818326291802</v>
      </c>
      <c r="T435" s="5">
        <v>-71.084614259999995</v>
      </c>
    </row>
    <row r="436" spans="1:20" x14ac:dyDescent="0.3">
      <c r="A436" s="5" t="s">
        <v>1703</v>
      </c>
      <c r="B436" s="6">
        <v>10466</v>
      </c>
      <c r="C436" s="6" t="str">
        <f t="shared" si="127"/>
        <v>Active/Unavailable</v>
      </c>
      <c r="D436" s="5" t="s">
        <v>29</v>
      </c>
      <c r="E436" s="5" t="s">
        <v>1704</v>
      </c>
      <c r="F436" s="5" t="s">
        <v>489</v>
      </c>
      <c r="G436" s="5" t="str">
        <f t="shared" si="125"/>
        <v>Not Available</v>
      </c>
      <c r="H436" s="5" t="str">
        <f t="shared" si="128"/>
        <v>Not Available</v>
      </c>
      <c r="I436" s="5" t="s">
        <v>22</v>
      </c>
      <c r="J436" s="5" t="s">
        <v>3387</v>
      </c>
      <c r="K436" s="5" t="s">
        <v>3393</v>
      </c>
      <c r="L436" s="5" t="s">
        <v>22</v>
      </c>
      <c r="M436" s="5" t="s">
        <v>3606</v>
      </c>
      <c r="N436" s="5" t="s">
        <v>1705</v>
      </c>
      <c r="O436" s="5" t="s">
        <v>1706</v>
      </c>
      <c r="P436" s="5" t="s">
        <v>26</v>
      </c>
      <c r="Q436" s="5" t="s">
        <v>57</v>
      </c>
      <c r="R436" s="5">
        <v>1801</v>
      </c>
      <c r="S436" s="5">
        <v>42.4547503891025</v>
      </c>
      <c r="T436" s="5">
        <v>-71.113817949999998</v>
      </c>
    </row>
    <row r="437" spans="1:20" x14ac:dyDescent="0.3">
      <c r="A437" s="5" t="s">
        <v>1707</v>
      </c>
      <c r="B437" s="6">
        <v>18494</v>
      </c>
      <c r="C437" s="6" t="str">
        <f t="shared" si="127"/>
        <v>Active/Unavailable</v>
      </c>
      <c r="D437" s="5" t="s">
        <v>18</v>
      </c>
      <c r="E437" s="5" t="s">
        <v>1708</v>
      </c>
      <c r="F437" s="5" t="s">
        <v>1554</v>
      </c>
      <c r="G437" s="5" t="str">
        <f t="shared" si="125"/>
        <v>Not Available</v>
      </c>
      <c r="H437" s="5" t="s">
        <v>738</v>
      </c>
      <c r="I437" s="5" t="s">
        <v>22</v>
      </c>
      <c r="J437" s="5" t="s">
        <v>3387</v>
      </c>
      <c r="K437" s="5" t="s">
        <v>3393</v>
      </c>
      <c r="L437" s="5" t="s">
        <v>23</v>
      </c>
      <c r="M437" s="5" t="s">
        <v>3540</v>
      </c>
      <c r="N437" s="5" t="s">
        <v>1709</v>
      </c>
      <c r="O437" s="5" t="s">
        <v>33</v>
      </c>
      <c r="P437" s="5" t="s">
        <v>26</v>
      </c>
      <c r="Q437" s="5" t="s">
        <v>34</v>
      </c>
      <c r="R437" s="5">
        <v>2122</v>
      </c>
      <c r="S437" s="5">
        <v>42.362223339808203</v>
      </c>
      <c r="T437" s="5">
        <v>-71.059232800000004</v>
      </c>
    </row>
    <row r="438" spans="1:20" x14ac:dyDescent="0.3">
      <c r="A438" s="5" t="s">
        <v>1710</v>
      </c>
      <c r="B438" s="6">
        <v>30763</v>
      </c>
      <c r="C438" s="6" t="str">
        <f t="shared" si="127"/>
        <v>Active/Unavailable</v>
      </c>
      <c r="D438" s="5" t="s">
        <v>29</v>
      </c>
      <c r="E438" s="5" t="s">
        <v>1711</v>
      </c>
      <c r="F438" s="5" t="s">
        <v>601</v>
      </c>
      <c r="G438" s="5" t="str">
        <f t="shared" si="125"/>
        <v>Not Available</v>
      </c>
      <c r="H438" s="5" t="str">
        <f>"Not Available"</f>
        <v>Not Available</v>
      </c>
      <c r="I438" s="5" t="s">
        <v>65</v>
      </c>
      <c r="J438" s="5" t="s">
        <v>3387</v>
      </c>
      <c r="K438" s="5" t="s">
        <v>3393</v>
      </c>
      <c r="L438" s="5" t="s">
        <v>22</v>
      </c>
      <c r="M438" s="5" t="s">
        <v>3517</v>
      </c>
      <c r="N438" s="5" t="s">
        <v>1712</v>
      </c>
      <c r="O438" s="5" t="s">
        <v>33</v>
      </c>
      <c r="P438" s="5" t="s">
        <v>26</v>
      </c>
      <c r="Q438" s="5" t="s">
        <v>34</v>
      </c>
      <c r="R438" s="5">
        <v>2115</v>
      </c>
      <c r="S438" s="5">
        <v>42.289977975338999</v>
      </c>
      <c r="T438" s="5">
        <v>-71.052382629999997</v>
      </c>
    </row>
    <row r="439" spans="1:20" x14ac:dyDescent="0.3">
      <c r="A439" s="5" t="s">
        <v>1713</v>
      </c>
      <c r="B439" s="6">
        <v>26122</v>
      </c>
      <c r="C439" s="6" t="str">
        <f t="shared" si="127"/>
        <v>Active/Unavailable</v>
      </c>
      <c r="D439" s="5" t="s">
        <v>18</v>
      </c>
      <c r="E439" s="5" t="s">
        <v>1714</v>
      </c>
      <c r="F439" s="5" t="s">
        <v>305</v>
      </c>
      <c r="G439" s="5" t="str">
        <f t="shared" si="125"/>
        <v>Not Available</v>
      </c>
      <c r="H439" s="5" t="s">
        <v>1715</v>
      </c>
      <c r="I439" s="5" t="s">
        <v>22</v>
      </c>
      <c r="J439" s="5" t="s">
        <v>3387</v>
      </c>
      <c r="K439" s="5" t="s">
        <v>3393</v>
      </c>
      <c r="L439" s="5" t="s">
        <v>23</v>
      </c>
      <c r="M439" s="5" t="s">
        <v>3400</v>
      </c>
      <c r="N439" s="5" t="s">
        <v>1716</v>
      </c>
      <c r="O439" s="5" t="s">
        <v>25</v>
      </c>
      <c r="P439" s="5" t="s">
        <v>26</v>
      </c>
      <c r="Q439" s="5" t="s">
        <v>27</v>
      </c>
      <c r="R439" s="5">
        <v>2169</v>
      </c>
      <c r="S439" s="5">
        <v>42.335437449528598</v>
      </c>
      <c r="T439" s="5">
        <v>-70.988918740000003</v>
      </c>
    </row>
    <row r="440" spans="1:20" x14ac:dyDescent="0.3">
      <c r="A440" s="5" t="s">
        <v>1717</v>
      </c>
      <c r="B440" s="6">
        <v>9453</v>
      </c>
      <c r="C440" s="6">
        <v>43451</v>
      </c>
      <c r="D440" s="5" t="s">
        <v>29</v>
      </c>
      <c r="E440" s="5" t="s">
        <v>1718</v>
      </c>
      <c r="F440" s="5" t="s">
        <v>1038</v>
      </c>
      <c r="G440" s="5" t="str">
        <f t="shared" si="125"/>
        <v>Not Available</v>
      </c>
      <c r="H440" s="5" t="str">
        <f t="shared" ref="H440:H447" si="129">"Not Available"</f>
        <v>Not Available</v>
      </c>
      <c r="I440" s="5" t="s">
        <v>22</v>
      </c>
      <c r="J440" s="5" t="s">
        <v>3387</v>
      </c>
      <c r="K440" s="5" t="s">
        <v>3393</v>
      </c>
      <c r="L440" s="5" t="s">
        <v>22</v>
      </c>
      <c r="M440" s="5" t="s">
        <v>3532</v>
      </c>
      <c r="N440" s="5" t="s">
        <v>1719</v>
      </c>
      <c r="O440" s="5" t="s">
        <v>25</v>
      </c>
      <c r="P440" s="5" t="s">
        <v>26</v>
      </c>
      <c r="Q440" s="5" t="s">
        <v>27</v>
      </c>
      <c r="R440" s="5">
        <v>2171</v>
      </c>
      <c r="S440" s="5">
        <v>42.251173810031901</v>
      </c>
      <c r="T440" s="5">
        <v>-70.995662830000001</v>
      </c>
    </row>
    <row r="441" spans="1:20" x14ac:dyDescent="0.3">
      <c r="A441" s="5" t="s">
        <v>1720</v>
      </c>
      <c r="B441" s="6">
        <v>9453</v>
      </c>
      <c r="C441" s="6">
        <v>41684</v>
      </c>
      <c r="D441" s="5" t="s">
        <v>29</v>
      </c>
      <c r="E441" s="5" t="s">
        <v>1721</v>
      </c>
      <c r="F441" s="5" t="s">
        <v>197</v>
      </c>
      <c r="G441" s="5" t="str">
        <f t="shared" si="125"/>
        <v>Not Available</v>
      </c>
      <c r="H441" s="5" t="str">
        <f t="shared" si="129"/>
        <v>Not Available</v>
      </c>
      <c r="I441" s="5" t="s">
        <v>22</v>
      </c>
      <c r="J441" s="5" t="s">
        <v>3387</v>
      </c>
      <c r="K441" s="5" t="s">
        <v>3393</v>
      </c>
      <c r="L441" s="5" t="s">
        <v>22</v>
      </c>
      <c r="M441" s="5" t="s">
        <v>3502</v>
      </c>
      <c r="N441" s="5" t="s">
        <v>1722</v>
      </c>
      <c r="O441" s="5" t="s">
        <v>25</v>
      </c>
      <c r="P441" s="5" t="s">
        <v>26</v>
      </c>
      <c r="Q441" s="5" t="s">
        <v>27</v>
      </c>
      <c r="R441" s="5">
        <v>2170</v>
      </c>
      <c r="S441" s="5">
        <v>42.2855827762125</v>
      </c>
      <c r="T441" s="5">
        <v>-71.019531200000003</v>
      </c>
    </row>
    <row r="442" spans="1:20" x14ac:dyDescent="0.3">
      <c r="A442" s="5" t="s">
        <v>1723</v>
      </c>
      <c r="B442" s="6">
        <v>9453</v>
      </c>
      <c r="C442" s="6">
        <v>44317</v>
      </c>
      <c r="D442" s="5" t="s">
        <v>29</v>
      </c>
      <c r="E442" s="5" t="s">
        <v>1724</v>
      </c>
      <c r="F442" s="5" t="s">
        <v>1725</v>
      </c>
      <c r="G442" s="5" t="str">
        <f t="shared" si="125"/>
        <v>Not Available</v>
      </c>
      <c r="H442" s="5" t="str">
        <f t="shared" si="129"/>
        <v>Not Available</v>
      </c>
      <c r="I442" s="5" t="s">
        <v>22</v>
      </c>
      <c r="J442" s="5" t="s">
        <v>3387</v>
      </c>
      <c r="K442" s="5" t="s">
        <v>3393</v>
      </c>
      <c r="L442" s="5" t="s">
        <v>22</v>
      </c>
      <c r="M442" s="5" t="s">
        <v>3607</v>
      </c>
      <c r="N442" s="5" t="s">
        <v>1726</v>
      </c>
      <c r="O442" s="5" t="s">
        <v>25</v>
      </c>
      <c r="P442" s="5" t="s">
        <v>26</v>
      </c>
      <c r="Q442" s="5" t="s">
        <v>27</v>
      </c>
      <c r="R442" s="5">
        <v>2170</v>
      </c>
      <c r="S442" s="5">
        <v>42.243045015431299</v>
      </c>
      <c r="T442" s="5">
        <v>-70.970411150000004</v>
      </c>
    </row>
    <row r="443" spans="1:20" x14ac:dyDescent="0.3">
      <c r="A443" s="5" t="s">
        <v>1727</v>
      </c>
      <c r="B443" s="6">
        <v>9453</v>
      </c>
      <c r="C443" s="6">
        <v>42214</v>
      </c>
      <c r="D443" s="5" t="s">
        <v>29</v>
      </c>
      <c r="E443" s="5" t="s">
        <v>1728</v>
      </c>
      <c r="F443" s="5" t="s">
        <v>258</v>
      </c>
      <c r="G443" s="5" t="str">
        <f t="shared" si="125"/>
        <v>Not Available</v>
      </c>
      <c r="H443" s="5" t="str">
        <f t="shared" si="129"/>
        <v>Not Available</v>
      </c>
      <c r="I443" s="5" t="s">
        <v>22</v>
      </c>
      <c r="J443" s="5" t="s">
        <v>3387</v>
      </c>
      <c r="K443" s="5" t="s">
        <v>3393</v>
      </c>
      <c r="L443" s="5" t="s">
        <v>22</v>
      </c>
      <c r="M443" s="5" t="s">
        <v>3556</v>
      </c>
      <c r="N443" s="5" t="s">
        <v>1729</v>
      </c>
      <c r="O443" s="5" t="s">
        <v>25</v>
      </c>
      <c r="P443" s="5" t="s">
        <v>26</v>
      </c>
      <c r="Q443" s="5" t="s">
        <v>27</v>
      </c>
      <c r="R443" s="5" t="str">
        <f>"0000"</f>
        <v>0000</v>
      </c>
      <c r="S443" s="5">
        <v>42.3129785195339</v>
      </c>
      <c r="T443" s="5">
        <v>-70.990395539999994</v>
      </c>
    </row>
    <row r="444" spans="1:20" x14ac:dyDescent="0.3">
      <c r="A444" s="5" t="s">
        <v>1730</v>
      </c>
      <c r="B444" s="6">
        <v>13295</v>
      </c>
      <c r="C444" s="6" t="str">
        <f t="shared" ref="C444:C447" si="130">"Active/Unavailable"</f>
        <v>Active/Unavailable</v>
      </c>
      <c r="D444" s="5" t="s">
        <v>29</v>
      </c>
      <c r="E444" s="5" t="s">
        <v>1731</v>
      </c>
      <c r="F444" s="5" t="s">
        <v>1279</v>
      </c>
      <c r="G444" s="5" t="str">
        <f t="shared" si="125"/>
        <v>Not Available</v>
      </c>
      <c r="H444" s="5" t="str">
        <f t="shared" si="129"/>
        <v>Not Available</v>
      </c>
      <c r="I444" s="5" t="s">
        <v>22</v>
      </c>
      <c r="J444" s="5" t="s">
        <v>3387</v>
      </c>
      <c r="K444" s="5" t="s">
        <v>3393</v>
      </c>
      <c r="L444" s="5" t="s">
        <v>22</v>
      </c>
      <c r="M444" s="5" t="s">
        <v>3608</v>
      </c>
      <c r="N444" s="5" t="s">
        <v>1732</v>
      </c>
      <c r="O444" s="5" t="s">
        <v>33</v>
      </c>
      <c r="P444" s="5" t="s">
        <v>26</v>
      </c>
      <c r="Q444" s="5" t="s">
        <v>34</v>
      </c>
      <c r="R444" s="5">
        <v>2120</v>
      </c>
      <c r="S444" s="5">
        <v>42.344480039598501</v>
      </c>
      <c r="T444" s="5">
        <v>-71.026731220000002</v>
      </c>
    </row>
    <row r="445" spans="1:20" x14ac:dyDescent="0.3">
      <c r="A445" s="5" t="s">
        <v>1733</v>
      </c>
      <c r="B445" s="6">
        <v>26023</v>
      </c>
      <c r="C445" s="6" t="str">
        <f t="shared" si="130"/>
        <v>Active/Unavailable</v>
      </c>
      <c r="D445" s="5" t="s">
        <v>29</v>
      </c>
      <c r="E445" s="5" t="s">
        <v>1704</v>
      </c>
      <c r="F445" s="5" t="s">
        <v>148</v>
      </c>
      <c r="G445" s="5" t="str">
        <f t="shared" si="125"/>
        <v>Not Available</v>
      </c>
      <c r="H445" s="5" t="str">
        <f t="shared" si="129"/>
        <v>Not Available</v>
      </c>
      <c r="I445" s="5" t="s">
        <v>22</v>
      </c>
      <c r="J445" s="5" t="s">
        <v>3389</v>
      </c>
      <c r="K445" s="5" t="s">
        <v>3393</v>
      </c>
      <c r="L445" s="5" t="s">
        <v>22</v>
      </c>
      <c r="M445" s="5" t="s">
        <v>3609</v>
      </c>
      <c r="N445" s="5" t="s">
        <v>1734</v>
      </c>
      <c r="O445" s="5" t="s">
        <v>33</v>
      </c>
      <c r="P445" s="5" t="s">
        <v>26</v>
      </c>
      <c r="Q445" s="5" t="s">
        <v>34</v>
      </c>
      <c r="R445" s="5">
        <v>2210</v>
      </c>
      <c r="S445" s="5">
        <v>42.348906818424702</v>
      </c>
      <c r="T445" s="5">
        <v>-71.011220100000003</v>
      </c>
    </row>
    <row r="446" spans="1:20" x14ac:dyDescent="0.3">
      <c r="A446" s="5" t="s">
        <v>1735</v>
      </c>
      <c r="B446" s="6">
        <v>22991</v>
      </c>
      <c r="C446" s="6" t="str">
        <f t="shared" si="130"/>
        <v>Active/Unavailable</v>
      </c>
      <c r="D446" s="5" t="s">
        <v>29</v>
      </c>
      <c r="E446" s="5" t="s">
        <v>110</v>
      </c>
      <c r="F446" s="5" t="s">
        <v>1736</v>
      </c>
      <c r="G446" s="5" t="s">
        <v>314</v>
      </c>
      <c r="H446" s="5" t="str">
        <f t="shared" si="129"/>
        <v>Not Available</v>
      </c>
      <c r="I446" s="5" t="s">
        <v>65</v>
      </c>
      <c r="J446" s="5" t="s">
        <v>3387</v>
      </c>
      <c r="K446" s="5" t="s">
        <v>3393</v>
      </c>
      <c r="L446" s="5" t="s">
        <v>22</v>
      </c>
      <c r="M446" s="5" t="s">
        <v>3496</v>
      </c>
      <c r="N446" s="5" t="s">
        <v>1737</v>
      </c>
      <c r="O446" s="5" t="s">
        <v>88</v>
      </c>
      <c r="P446" s="5" t="s">
        <v>26</v>
      </c>
      <c r="Q446" s="5" t="s">
        <v>57</v>
      </c>
      <c r="R446" s="5">
        <v>2145</v>
      </c>
      <c r="S446" s="5">
        <v>42.359788004339897</v>
      </c>
      <c r="T446" s="5">
        <v>-71.080192519999997</v>
      </c>
    </row>
    <row r="447" spans="1:20" x14ac:dyDescent="0.3">
      <c r="A447" s="5" t="s">
        <v>1738</v>
      </c>
      <c r="B447" s="6">
        <v>12952</v>
      </c>
      <c r="C447" s="6" t="str">
        <f t="shared" si="130"/>
        <v>Active/Unavailable</v>
      </c>
      <c r="D447" s="5" t="s">
        <v>29</v>
      </c>
      <c r="E447" s="5" t="s">
        <v>1739</v>
      </c>
      <c r="F447" s="5" t="s">
        <v>921</v>
      </c>
      <c r="G447" s="5" t="str">
        <f t="shared" ref="G447:G478" si="131">"Not Available"</f>
        <v>Not Available</v>
      </c>
      <c r="H447" s="5" t="str">
        <f t="shared" si="129"/>
        <v>Not Available</v>
      </c>
      <c r="I447" s="5" t="s">
        <v>22</v>
      </c>
      <c r="J447" s="5" t="s">
        <v>3387</v>
      </c>
      <c r="K447" s="5" t="s">
        <v>3393</v>
      </c>
      <c r="L447" s="5" t="s">
        <v>22</v>
      </c>
      <c r="M447" s="5" t="s">
        <v>3542</v>
      </c>
      <c r="N447" s="5" t="s">
        <v>1740</v>
      </c>
      <c r="O447" s="5" t="s">
        <v>33</v>
      </c>
      <c r="P447" s="5" t="s">
        <v>26</v>
      </c>
      <c r="Q447" s="5" t="s">
        <v>34</v>
      </c>
      <c r="R447" s="5">
        <v>2115</v>
      </c>
      <c r="S447" s="5">
        <v>42.3699822769562</v>
      </c>
      <c r="T447" s="5">
        <v>-71.085709480000006</v>
      </c>
    </row>
    <row r="448" spans="1:20" x14ac:dyDescent="0.3">
      <c r="A448" s="5" t="s">
        <v>1741</v>
      </c>
      <c r="B448" s="6">
        <v>11221</v>
      </c>
      <c r="C448" s="6">
        <v>40826</v>
      </c>
      <c r="D448" s="5" t="s">
        <v>18</v>
      </c>
      <c r="E448" s="5" t="s">
        <v>1742</v>
      </c>
      <c r="F448" s="5" t="s">
        <v>1051</v>
      </c>
      <c r="G448" s="5" t="str">
        <f t="shared" si="131"/>
        <v>Not Available</v>
      </c>
      <c r="H448" s="5" t="s">
        <v>1743</v>
      </c>
      <c r="I448" s="5" t="s">
        <v>22</v>
      </c>
      <c r="J448" s="5" t="s">
        <v>3387</v>
      </c>
      <c r="K448" s="5" t="s">
        <v>3393</v>
      </c>
      <c r="L448" s="5" t="s">
        <v>23</v>
      </c>
      <c r="M448" s="5" t="s">
        <v>3502</v>
      </c>
      <c r="N448" s="5" t="s">
        <v>1744</v>
      </c>
      <c r="O448" s="5" t="s">
        <v>587</v>
      </c>
      <c r="P448" s="5" t="s">
        <v>26</v>
      </c>
      <c r="Q448" s="5" t="s">
        <v>27</v>
      </c>
      <c r="R448" s="5" t="str">
        <f>"0000"</f>
        <v>0000</v>
      </c>
      <c r="S448" s="5">
        <v>42.2247153666464</v>
      </c>
      <c r="T448" s="5">
        <v>-70.958568290000002</v>
      </c>
    </row>
    <row r="449" spans="1:20" x14ac:dyDescent="0.3">
      <c r="A449" s="5" t="s">
        <v>1745</v>
      </c>
      <c r="B449" s="6">
        <v>14158</v>
      </c>
      <c r="C449" s="6" t="str">
        <f t="shared" ref="C449:C451" si="132">"Active/Unavailable"</f>
        <v>Active/Unavailable</v>
      </c>
      <c r="D449" s="5" t="s">
        <v>18</v>
      </c>
      <c r="E449" s="5" t="s">
        <v>1746</v>
      </c>
      <c r="F449" s="5" t="s">
        <v>1549</v>
      </c>
      <c r="G449" s="5" t="str">
        <f t="shared" si="131"/>
        <v>Not Available</v>
      </c>
      <c r="H449" s="5" t="s">
        <v>1128</v>
      </c>
      <c r="I449" s="5" t="s">
        <v>22</v>
      </c>
      <c r="J449" s="5" t="s">
        <v>3387</v>
      </c>
      <c r="K449" s="5" t="s">
        <v>3393</v>
      </c>
      <c r="L449" s="5" t="s">
        <v>23</v>
      </c>
      <c r="M449" s="5" t="s">
        <v>3589</v>
      </c>
      <c r="N449" s="5" t="s">
        <v>1747</v>
      </c>
      <c r="O449" s="5" t="s">
        <v>108</v>
      </c>
      <c r="P449" s="5" t="s">
        <v>26</v>
      </c>
      <c r="Q449" s="5" t="s">
        <v>34</v>
      </c>
      <c r="R449" s="5">
        <v>2151</v>
      </c>
      <c r="S449" s="5">
        <v>42.381646694045799</v>
      </c>
      <c r="T449" s="5">
        <v>-71.015508569999994</v>
      </c>
    </row>
    <row r="450" spans="1:20" x14ac:dyDescent="0.3">
      <c r="A450" s="5" t="s">
        <v>1748</v>
      </c>
      <c r="B450" s="6">
        <v>9958</v>
      </c>
      <c r="C450" s="6" t="str">
        <f t="shared" si="132"/>
        <v>Active/Unavailable</v>
      </c>
      <c r="D450" s="5" t="s">
        <v>18</v>
      </c>
      <c r="E450" s="5" t="s">
        <v>1749</v>
      </c>
      <c r="F450" s="5" t="s">
        <v>1750</v>
      </c>
      <c r="G450" s="5" t="str">
        <f t="shared" si="131"/>
        <v>Not Available</v>
      </c>
      <c r="H450" s="5" t="s">
        <v>1751</v>
      </c>
      <c r="I450" s="5" t="s">
        <v>22</v>
      </c>
      <c r="J450" s="5" t="s">
        <v>3387</v>
      </c>
      <c r="K450" s="5" t="s">
        <v>3394</v>
      </c>
      <c r="L450" s="5" t="s">
        <v>23</v>
      </c>
      <c r="M450" s="5" t="s">
        <v>3531</v>
      </c>
      <c r="N450" s="5" t="s">
        <v>1752</v>
      </c>
      <c r="O450" s="5" t="s">
        <v>108</v>
      </c>
      <c r="P450" s="5" t="s">
        <v>26</v>
      </c>
      <c r="Q450" s="5" t="s">
        <v>34</v>
      </c>
      <c r="R450" s="5">
        <v>2151</v>
      </c>
      <c r="S450" s="5">
        <v>42.382760890798203</v>
      </c>
      <c r="T450" s="5">
        <v>-71.027403570000004</v>
      </c>
    </row>
    <row r="451" spans="1:20" x14ac:dyDescent="0.3">
      <c r="A451" s="5" t="s">
        <v>1753</v>
      </c>
      <c r="B451" s="6">
        <v>19432</v>
      </c>
      <c r="C451" s="6" t="str">
        <f t="shared" si="132"/>
        <v>Active/Unavailable</v>
      </c>
      <c r="D451" s="5" t="s">
        <v>29</v>
      </c>
      <c r="E451" s="5" t="s">
        <v>592</v>
      </c>
      <c r="F451" s="5" t="s">
        <v>1736</v>
      </c>
      <c r="G451" s="5" t="str">
        <f t="shared" si="131"/>
        <v>Not Available</v>
      </c>
      <c r="H451" s="5" t="str">
        <f t="shared" ref="H451:H452" si="133">"Not Available"</f>
        <v>Not Available</v>
      </c>
      <c r="I451" s="5" t="s">
        <v>22</v>
      </c>
      <c r="J451" s="5" t="s">
        <v>3387</v>
      </c>
      <c r="K451" s="5" t="s">
        <v>3393</v>
      </c>
      <c r="L451" s="5" t="s">
        <v>22</v>
      </c>
      <c r="M451" s="5" t="s">
        <v>3400</v>
      </c>
      <c r="N451" s="5" t="s">
        <v>1754</v>
      </c>
      <c r="O451" s="5" t="s">
        <v>209</v>
      </c>
      <c r="P451" s="5" t="s">
        <v>26</v>
      </c>
      <c r="Q451" s="5" t="s">
        <v>27</v>
      </c>
      <c r="R451" s="5">
        <v>2190</v>
      </c>
      <c r="S451" s="5">
        <v>42.252272216114299</v>
      </c>
      <c r="T451" s="5">
        <v>-70.883892799999998</v>
      </c>
    </row>
    <row r="452" spans="1:20" x14ac:dyDescent="0.3">
      <c r="A452" s="5" t="s">
        <v>1755</v>
      </c>
      <c r="B452" s="6">
        <v>11306</v>
      </c>
      <c r="C452" s="6">
        <v>40930</v>
      </c>
      <c r="D452" s="5" t="s">
        <v>29</v>
      </c>
      <c r="E452" s="5" t="s">
        <v>1756</v>
      </c>
      <c r="F452" s="5" t="s">
        <v>1757</v>
      </c>
      <c r="G452" s="5" t="str">
        <f t="shared" si="131"/>
        <v>Not Available</v>
      </c>
      <c r="H452" s="5" t="str">
        <f t="shared" si="133"/>
        <v>Not Available</v>
      </c>
      <c r="I452" s="5" t="s">
        <v>22</v>
      </c>
      <c r="J452" s="5" t="s">
        <v>3388</v>
      </c>
      <c r="K452" s="5" t="s">
        <v>3393</v>
      </c>
      <c r="L452" s="5" t="s">
        <v>22</v>
      </c>
      <c r="M452" s="5" t="s">
        <v>3482</v>
      </c>
      <c r="N452" s="5" t="s">
        <v>1758</v>
      </c>
      <c r="O452" s="5" t="s">
        <v>33</v>
      </c>
      <c r="P452" s="5" t="s">
        <v>26</v>
      </c>
      <c r="Q452" s="5" t="s">
        <v>34</v>
      </c>
      <c r="R452" s="5">
        <v>2124</v>
      </c>
      <c r="S452" s="5">
        <v>42.332854356772103</v>
      </c>
      <c r="T452" s="5">
        <v>-71.094072670000003</v>
      </c>
    </row>
    <row r="453" spans="1:20" x14ac:dyDescent="0.3">
      <c r="A453" s="5" t="s">
        <v>1759</v>
      </c>
      <c r="B453" s="6">
        <v>16683</v>
      </c>
      <c r="C453" s="6" t="str">
        <f t="shared" ref="C453:C456" si="134">"Active/Unavailable"</f>
        <v>Active/Unavailable</v>
      </c>
      <c r="D453" s="5" t="s">
        <v>18</v>
      </c>
      <c r="E453" s="5" t="s">
        <v>1760</v>
      </c>
      <c r="F453" s="5" t="s">
        <v>1761</v>
      </c>
      <c r="G453" s="5" t="str">
        <f t="shared" si="131"/>
        <v>Not Available</v>
      </c>
      <c r="H453" s="5" t="s">
        <v>527</v>
      </c>
      <c r="I453" s="5" t="s">
        <v>22</v>
      </c>
      <c r="J453" s="5" t="s">
        <v>3388</v>
      </c>
      <c r="K453" s="5" t="s">
        <v>3393</v>
      </c>
      <c r="L453" s="5" t="s">
        <v>23</v>
      </c>
      <c r="M453" s="5" t="s">
        <v>3610</v>
      </c>
      <c r="N453" s="5" t="s">
        <v>1762</v>
      </c>
      <c r="O453" s="5" t="s">
        <v>25</v>
      </c>
      <c r="P453" s="5" t="s">
        <v>26</v>
      </c>
      <c r="Q453" s="5" t="s">
        <v>27</v>
      </c>
      <c r="R453" s="5" t="str">
        <f>"0000"</f>
        <v>0000</v>
      </c>
      <c r="S453" s="5">
        <v>42.331788408454898</v>
      </c>
      <c r="T453" s="5">
        <v>-70.986002589999998</v>
      </c>
    </row>
    <row r="454" spans="1:20" x14ac:dyDescent="0.3">
      <c r="A454" s="5" t="s">
        <v>1763</v>
      </c>
      <c r="B454" s="6">
        <v>17474</v>
      </c>
      <c r="C454" s="6" t="str">
        <f t="shared" si="134"/>
        <v>Active/Unavailable</v>
      </c>
      <c r="D454" s="5" t="s">
        <v>29</v>
      </c>
      <c r="E454" s="5" t="s">
        <v>1764</v>
      </c>
      <c r="F454" s="5" t="s">
        <v>1765</v>
      </c>
      <c r="G454" s="5" t="str">
        <f t="shared" si="131"/>
        <v>Not Available</v>
      </c>
      <c r="H454" s="5" t="str">
        <f t="shared" ref="H454:H460" si="135">"Not Available"</f>
        <v>Not Available</v>
      </c>
      <c r="I454" s="5" t="s">
        <v>22</v>
      </c>
      <c r="J454" s="5" t="s">
        <v>3387</v>
      </c>
      <c r="K454" s="5" t="s">
        <v>3393</v>
      </c>
      <c r="L454" s="5" t="s">
        <v>22</v>
      </c>
      <c r="M454" s="5" t="s">
        <v>3611</v>
      </c>
      <c r="N454" s="5" t="s">
        <v>1766</v>
      </c>
      <c r="O454" s="5" t="s">
        <v>33</v>
      </c>
      <c r="P454" s="5" t="s">
        <v>26</v>
      </c>
      <c r="Q454" s="5" t="s">
        <v>34</v>
      </c>
      <c r="R454" s="5">
        <v>2121</v>
      </c>
      <c r="S454" s="5">
        <v>42.357320297998299</v>
      </c>
      <c r="T454" s="5">
        <v>-71.133174109999999</v>
      </c>
    </row>
    <row r="455" spans="1:20" x14ac:dyDescent="0.3">
      <c r="A455" s="5" t="s">
        <v>1767</v>
      </c>
      <c r="B455" s="6">
        <v>24449</v>
      </c>
      <c r="C455" s="6" t="str">
        <f t="shared" si="134"/>
        <v>Active/Unavailable</v>
      </c>
      <c r="D455" s="5" t="s">
        <v>29</v>
      </c>
      <c r="E455" s="5" t="s">
        <v>1768</v>
      </c>
      <c r="F455" s="5" t="s">
        <v>1769</v>
      </c>
      <c r="G455" s="5" t="str">
        <f t="shared" si="131"/>
        <v>Not Available</v>
      </c>
      <c r="H455" s="5" t="str">
        <f t="shared" si="135"/>
        <v>Not Available</v>
      </c>
      <c r="I455" s="5" t="s">
        <v>22</v>
      </c>
      <c r="J455" s="5" t="s">
        <v>3388</v>
      </c>
      <c r="K455" s="5" t="s">
        <v>3393</v>
      </c>
      <c r="L455" s="5" t="s">
        <v>22</v>
      </c>
      <c r="M455" s="5" t="s">
        <v>3559</v>
      </c>
      <c r="N455" s="5" t="s">
        <v>1770</v>
      </c>
      <c r="O455" s="5" t="s">
        <v>172</v>
      </c>
      <c r="P455" s="5" t="s">
        <v>26</v>
      </c>
      <c r="Q455" s="5" t="s">
        <v>34</v>
      </c>
      <c r="R455" s="5">
        <v>2149</v>
      </c>
      <c r="S455" s="5">
        <v>42.349708046868102</v>
      </c>
      <c r="T455" s="5">
        <v>-71.052416539999996</v>
      </c>
    </row>
    <row r="456" spans="1:20" x14ac:dyDescent="0.3">
      <c r="A456" s="5" t="s">
        <v>1771</v>
      </c>
      <c r="B456" s="6">
        <v>11306</v>
      </c>
      <c r="C456" s="6" t="str">
        <f t="shared" si="134"/>
        <v>Active/Unavailable</v>
      </c>
      <c r="D456" s="5" t="s">
        <v>29</v>
      </c>
      <c r="E456" s="5" t="s">
        <v>1772</v>
      </c>
      <c r="F456" s="5" t="s">
        <v>1773</v>
      </c>
      <c r="G456" s="5" t="str">
        <f t="shared" si="131"/>
        <v>Not Available</v>
      </c>
      <c r="H456" s="5" t="str">
        <f t="shared" si="135"/>
        <v>Not Available</v>
      </c>
      <c r="I456" s="5" t="s">
        <v>22</v>
      </c>
      <c r="J456" s="5" t="s">
        <v>3388</v>
      </c>
      <c r="K456" s="5" t="s">
        <v>3393</v>
      </c>
      <c r="L456" s="5" t="s">
        <v>22</v>
      </c>
      <c r="M456" s="5" t="s">
        <v>3535</v>
      </c>
      <c r="N456" s="5" t="s">
        <v>1774</v>
      </c>
      <c r="O456" s="5" t="s">
        <v>33</v>
      </c>
      <c r="P456" s="5" t="s">
        <v>26</v>
      </c>
      <c r="Q456" s="5" t="s">
        <v>34</v>
      </c>
      <c r="R456" s="5">
        <v>2125</v>
      </c>
      <c r="S456" s="5">
        <v>42.307223361274502</v>
      </c>
      <c r="T456" s="5">
        <v>-71.064182970000005</v>
      </c>
    </row>
    <row r="457" spans="1:20" x14ac:dyDescent="0.3">
      <c r="A457" s="5" t="s">
        <v>1775</v>
      </c>
      <c r="B457" s="6">
        <v>10113</v>
      </c>
      <c r="C457" s="6">
        <v>41451</v>
      </c>
      <c r="D457" s="5" t="s">
        <v>100</v>
      </c>
      <c r="E457" s="5" t="s">
        <v>1776</v>
      </c>
      <c r="F457" s="5" t="s">
        <v>290</v>
      </c>
      <c r="G457" s="5" t="str">
        <f t="shared" si="131"/>
        <v>Not Available</v>
      </c>
      <c r="H457" s="5" t="str">
        <f t="shared" si="135"/>
        <v>Not Available</v>
      </c>
      <c r="I457" s="5" t="s">
        <v>65</v>
      </c>
      <c r="J457" s="5" t="s">
        <v>3387</v>
      </c>
      <c r="K457" s="5" t="s">
        <v>3393</v>
      </c>
      <c r="L457" s="5" t="s">
        <v>23</v>
      </c>
      <c r="M457" s="5" t="s">
        <v>3527</v>
      </c>
      <c r="N457" s="5" t="s">
        <v>1777</v>
      </c>
      <c r="O457" s="5" t="s">
        <v>209</v>
      </c>
      <c r="P457" s="5" t="s">
        <v>26</v>
      </c>
      <c r="Q457" s="5" t="s">
        <v>27</v>
      </c>
      <c r="R457" s="5">
        <v>2189</v>
      </c>
      <c r="S457" s="5">
        <v>42.2894338403867</v>
      </c>
      <c r="T457" s="5">
        <v>-70.897943609999999</v>
      </c>
    </row>
    <row r="458" spans="1:20" x14ac:dyDescent="0.3">
      <c r="A458" s="5" t="s">
        <v>1778</v>
      </c>
      <c r="B458" s="6">
        <v>15853</v>
      </c>
      <c r="C458" s="6" t="str">
        <f t="shared" ref="C458:C470" si="136">"Active/Unavailable"</f>
        <v>Active/Unavailable</v>
      </c>
      <c r="D458" s="5" t="s">
        <v>29</v>
      </c>
      <c r="E458" s="5" t="s">
        <v>1779</v>
      </c>
      <c r="F458" s="5" t="s">
        <v>1769</v>
      </c>
      <c r="G458" s="5" t="str">
        <f t="shared" si="131"/>
        <v>Not Available</v>
      </c>
      <c r="H458" s="5" t="str">
        <f t="shared" si="135"/>
        <v>Not Available</v>
      </c>
      <c r="I458" s="5" t="s">
        <v>22</v>
      </c>
      <c r="J458" s="5" t="s">
        <v>3387</v>
      </c>
      <c r="K458" s="5" t="s">
        <v>3393</v>
      </c>
      <c r="L458" s="5" t="s">
        <v>22</v>
      </c>
      <c r="M458" s="5" t="s">
        <v>3400</v>
      </c>
      <c r="N458" s="5" t="s">
        <v>1780</v>
      </c>
      <c r="O458" s="5" t="s">
        <v>845</v>
      </c>
      <c r="P458" s="5" t="s">
        <v>26</v>
      </c>
      <c r="Q458" s="5" t="s">
        <v>57</v>
      </c>
      <c r="R458" s="5" t="str">
        <f>"0000"</f>
        <v>0000</v>
      </c>
      <c r="S458" s="5">
        <v>42.4088616301568</v>
      </c>
      <c r="T458" s="5">
        <v>-71.028493109999999</v>
      </c>
    </row>
    <row r="459" spans="1:20" x14ac:dyDescent="0.3">
      <c r="A459" s="5" t="s">
        <v>1781</v>
      </c>
      <c r="B459" s="6">
        <v>15654</v>
      </c>
      <c r="C459" s="6" t="str">
        <f t="shared" si="136"/>
        <v>Active/Unavailable</v>
      </c>
      <c r="D459" s="5" t="s">
        <v>29</v>
      </c>
      <c r="E459" s="5" t="s">
        <v>1782</v>
      </c>
      <c r="F459" s="5" t="s">
        <v>361</v>
      </c>
      <c r="G459" s="5" t="str">
        <f t="shared" si="131"/>
        <v>Not Available</v>
      </c>
      <c r="H459" s="5" t="str">
        <f t="shared" si="135"/>
        <v>Not Available</v>
      </c>
      <c r="I459" s="5" t="s">
        <v>22</v>
      </c>
      <c r="J459" s="5" t="s">
        <v>3387</v>
      </c>
      <c r="K459" s="5" t="s">
        <v>3393</v>
      </c>
      <c r="L459" s="5" t="s">
        <v>22</v>
      </c>
      <c r="M459" s="5" t="s">
        <v>3556</v>
      </c>
      <c r="N459" s="5" t="s">
        <v>1783</v>
      </c>
      <c r="O459" s="5" t="s">
        <v>56</v>
      </c>
      <c r="P459" s="5" t="s">
        <v>26</v>
      </c>
      <c r="Q459" s="5" t="s">
        <v>57</v>
      </c>
      <c r="R459" s="5">
        <v>2140</v>
      </c>
      <c r="S459" s="5">
        <v>42.347973702195397</v>
      </c>
      <c r="T459" s="5">
        <v>-71.074646729999998</v>
      </c>
    </row>
    <row r="460" spans="1:20" x14ac:dyDescent="0.3">
      <c r="A460" s="5" t="s">
        <v>1784</v>
      </c>
      <c r="B460" s="6">
        <v>31027</v>
      </c>
      <c r="C460" s="6" t="str">
        <f t="shared" si="136"/>
        <v>Active/Unavailable</v>
      </c>
      <c r="D460" s="5" t="s">
        <v>29</v>
      </c>
      <c r="E460" s="5" t="s">
        <v>1785</v>
      </c>
      <c r="F460" s="5" t="s">
        <v>962</v>
      </c>
      <c r="G460" s="5" t="str">
        <f t="shared" si="131"/>
        <v>Not Available</v>
      </c>
      <c r="H460" s="5" t="str">
        <f t="shared" si="135"/>
        <v>Not Available</v>
      </c>
      <c r="I460" s="5" t="s">
        <v>22</v>
      </c>
      <c r="J460" s="5" t="s">
        <v>3387</v>
      </c>
      <c r="K460" s="5" t="s">
        <v>3393</v>
      </c>
      <c r="L460" s="5" t="s">
        <v>22</v>
      </c>
      <c r="M460" s="5" t="s">
        <v>3402</v>
      </c>
      <c r="N460" s="5" t="s">
        <v>1786</v>
      </c>
      <c r="O460" s="5" t="s">
        <v>33</v>
      </c>
      <c r="P460" s="5" t="s">
        <v>26</v>
      </c>
      <c r="Q460" s="5" t="s">
        <v>34</v>
      </c>
      <c r="R460" s="5">
        <v>2114</v>
      </c>
      <c r="S460" s="5">
        <v>42.314615080202202</v>
      </c>
      <c r="T460" s="5">
        <v>-71.078334760000004</v>
      </c>
    </row>
    <row r="461" spans="1:20" x14ac:dyDescent="0.3">
      <c r="A461" s="7" t="s">
        <v>1787</v>
      </c>
      <c r="B461" s="6">
        <v>10113</v>
      </c>
      <c r="C461" s="6" t="str">
        <f t="shared" si="136"/>
        <v>Active/Unavailable</v>
      </c>
      <c r="D461" s="5" t="s">
        <v>18</v>
      </c>
      <c r="E461" s="5" t="s">
        <v>1788</v>
      </c>
      <c r="F461" s="5" t="s">
        <v>1789</v>
      </c>
      <c r="G461" s="5" t="str">
        <f t="shared" si="131"/>
        <v>Not Available</v>
      </c>
      <c r="H461" s="5" t="s">
        <v>866</v>
      </c>
      <c r="I461" s="5" t="s">
        <v>22</v>
      </c>
      <c r="J461" s="5" t="s">
        <v>3387</v>
      </c>
      <c r="K461" s="5" t="s">
        <v>3393</v>
      </c>
      <c r="L461" s="5" t="s">
        <v>23</v>
      </c>
      <c r="M461" s="5" t="s">
        <v>3492</v>
      </c>
      <c r="N461" s="5" t="s">
        <v>1790</v>
      </c>
      <c r="O461" s="5" t="s">
        <v>209</v>
      </c>
      <c r="P461" s="5" t="s">
        <v>26</v>
      </c>
      <c r="Q461" s="5" t="s">
        <v>27</v>
      </c>
      <c r="R461" s="5">
        <v>2190</v>
      </c>
      <c r="S461" s="5">
        <v>42.2166098711456</v>
      </c>
      <c r="T461" s="5">
        <v>-70.948926349999994</v>
      </c>
    </row>
    <row r="462" spans="1:20" x14ac:dyDescent="0.3">
      <c r="A462" s="5" t="s">
        <v>1791</v>
      </c>
      <c r="B462" s="6">
        <v>21139</v>
      </c>
      <c r="C462" s="6" t="str">
        <f t="shared" si="136"/>
        <v>Active/Unavailable</v>
      </c>
      <c r="D462" s="5" t="s">
        <v>18</v>
      </c>
      <c r="E462" s="5" t="s">
        <v>1792</v>
      </c>
      <c r="F462" s="5" t="s">
        <v>1529</v>
      </c>
      <c r="G462" s="5" t="str">
        <f t="shared" si="131"/>
        <v>Not Available</v>
      </c>
      <c r="H462" s="5" t="s">
        <v>545</v>
      </c>
      <c r="I462" s="5" t="s">
        <v>22</v>
      </c>
      <c r="J462" s="5" t="s">
        <v>3389</v>
      </c>
      <c r="K462" s="5" t="s">
        <v>3393</v>
      </c>
      <c r="L462" s="5" t="s">
        <v>23</v>
      </c>
      <c r="M462" s="5" t="s">
        <v>3612</v>
      </c>
      <c r="N462" s="5" t="s">
        <v>1793</v>
      </c>
      <c r="O462" s="5" t="s">
        <v>33</v>
      </c>
      <c r="P462" s="5" t="s">
        <v>26</v>
      </c>
      <c r="Q462" s="5" t="s">
        <v>34</v>
      </c>
      <c r="R462" s="5">
        <v>2136</v>
      </c>
      <c r="S462" s="5">
        <v>42.310693110912098</v>
      </c>
      <c r="T462" s="5">
        <v>-71.067865690000005</v>
      </c>
    </row>
    <row r="463" spans="1:20" x14ac:dyDescent="0.3">
      <c r="A463" s="5" t="s">
        <v>1794</v>
      </c>
      <c r="B463" s="6">
        <v>19298</v>
      </c>
      <c r="C463" s="6" t="str">
        <f t="shared" si="136"/>
        <v>Active/Unavailable</v>
      </c>
      <c r="D463" s="5" t="s">
        <v>29</v>
      </c>
      <c r="E463" s="5" t="s">
        <v>169</v>
      </c>
      <c r="F463" s="5" t="s">
        <v>328</v>
      </c>
      <c r="G463" s="5" t="str">
        <f t="shared" si="131"/>
        <v>Not Available</v>
      </c>
      <c r="H463" s="5" t="str">
        <f t="shared" ref="H463:H464" si="137">"Not Available"</f>
        <v>Not Available</v>
      </c>
      <c r="I463" s="5" t="s">
        <v>22</v>
      </c>
      <c r="J463" s="5" t="s">
        <v>3387</v>
      </c>
      <c r="K463" s="5" t="s">
        <v>3393</v>
      </c>
      <c r="L463" s="5" t="s">
        <v>22</v>
      </c>
      <c r="M463" s="5" t="s">
        <v>3438</v>
      </c>
      <c r="N463" s="5" t="s">
        <v>1795</v>
      </c>
      <c r="O463" s="5" t="s">
        <v>316</v>
      </c>
      <c r="P463" s="5" t="s">
        <v>26</v>
      </c>
      <c r="Q463" s="5" t="s">
        <v>317</v>
      </c>
      <c r="R463" s="5">
        <v>2043</v>
      </c>
      <c r="S463" s="5">
        <v>42.220456863187799</v>
      </c>
      <c r="T463" s="5">
        <v>-70.852048370000006</v>
      </c>
    </row>
    <row r="464" spans="1:20" x14ac:dyDescent="0.3">
      <c r="A464" s="5" t="s">
        <v>1796</v>
      </c>
      <c r="B464" s="6">
        <v>27656</v>
      </c>
      <c r="C464" s="6" t="str">
        <f t="shared" si="136"/>
        <v>Active/Unavailable</v>
      </c>
      <c r="D464" s="5" t="s">
        <v>100</v>
      </c>
      <c r="E464" s="5" t="s">
        <v>3354</v>
      </c>
      <c r="F464" s="5" t="s">
        <v>1797</v>
      </c>
      <c r="G464" s="5" t="str">
        <f t="shared" si="131"/>
        <v>Not Available</v>
      </c>
      <c r="H464" s="5" t="str">
        <f t="shared" si="137"/>
        <v>Not Available</v>
      </c>
      <c r="I464" s="5" t="s">
        <v>65</v>
      </c>
      <c r="J464" s="5" t="s">
        <v>3387</v>
      </c>
      <c r="K464" s="5" t="s">
        <v>3394</v>
      </c>
      <c r="L464" s="5" t="s">
        <v>23</v>
      </c>
      <c r="M464" s="5" t="s">
        <v>3511</v>
      </c>
      <c r="N464" s="5" t="s">
        <v>1798</v>
      </c>
      <c r="O464" s="5" t="s">
        <v>25</v>
      </c>
      <c r="P464" s="5" t="s">
        <v>26</v>
      </c>
      <c r="Q464" s="5" t="s">
        <v>27</v>
      </c>
      <c r="R464" s="5">
        <v>2171</v>
      </c>
      <c r="S464" s="5">
        <v>42.297239363954802</v>
      </c>
      <c r="T464" s="5">
        <v>-71.041935089999996</v>
      </c>
    </row>
    <row r="465" spans="1:20" x14ac:dyDescent="0.3">
      <c r="A465" s="5" t="s">
        <v>1799</v>
      </c>
      <c r="B465" s="6">
        <v>19645</v>
      </c>
      <c r="C465" s="6" t="str">
        <f t="shared" si="136"/>
        <v>Active/Unavailable</v>
      </c>
      <c r="D465" s="5" t="s">
        <v>18</v>
      </c>
      <c r="E465" s="5" t="s">
        <v>1800</v>
      </c>
      <c r="F465" s="5" t="s">
        <v>1801</v>
      </c>
      <c r="G465" s="5" t="str">
        <f t="shared" si="131"/>
        <v>Not Available</v>
      </c>
      <c r="H465" s="5" t="s">
        <v>1432</v>
      </c>
      <c r="I465" s="5" t="s">
        <v>22</v>
      </c>
      <c r="J465" s="5" t="s">
        <v>3389</v>
      </c>
      <c r="K465" s="5" t="s">
        <v>3394</v>
      </c>
      <c r="L465" s="5" t="s">
        <v>23</v>
      </c>
      <c r="M465" s="5" t="s">
        <v>3408</v>
      </c>
      <c r="N465" s="5" t="s">
        <v>1802</v>
      </c>
      <c r="O465" s="5" t="s">
        <v>33</v>
      </c>
      <c r="P465" s="5" t="s">
        <v>26</v>
      </c>
      <c r="Q465" s="5" t="s">
        <v>34</v>
      </c>
      <c r="R465" s="5">
        <v>2199</v>
      </c>
      <c r="S465" s="5">
        <v>42.400815717592899</v>
      </c>
      <c r="T465" s="5">
        <v>-70.953659909999999</v>
      </c>
    </row>
    <row r="466" spans="1:20" x14ac:dyDescent="0.3">
      <c r="A466" s="5" t="s">
        <v>1803</v>
      </c>
      <c r="B466" s="6">
        <v>18895</v>
      </c>
      <c r="C466" s="6" t="str">
        <f t="shared" si="136"/>
        <v>Active/Unavailable</v>
      </c>
      <c r="D466" s="5" t="s">
        <v>18</v>
      </c>
      <c r="E466" s="5" t="s">
        <v>1804</v>
      </c>
      <c r="F466" s="5" t="s">
        <v>1789</v>
      </c>
      <c r="G466" s="5" t="str">
        <f t="shared" si="131"/>
        <v>Not Available</v>
      </c>
      <c r="H466" s="5" t="s">
        <v>746</v>
      </c>
      <c r="I466" s="5" t="s">
        <v>22</v>
      </c>
      <c r="J466" s="5" t="s">
        <v>3387</v>
      </c>
      <c r="K466" s="5" t="s">
        <v>3393</v>
      </c>
      <c r="L466" s="5" t="s">
        <v>23</v>
      </c>
      <c r="M466" s="5" t="s">
        <v>3514</v>
      </c>
      <c r="N466" s="5" t="s">
        <v>1805</v>
      </c>
      <c r="O466" s="5" t="s">
        <v>25</v>
      </c>
      <c r="P466" s="5" t="s">
        <v>26</v>
      </c>
      <c r="Q466" s="5" t="s">
        <v>27</v>
      </c>
      <c r="R466" s="5">
        <v>2169</v>
      </c>
      <c r="S466" s="5">
        <v>42.288795040791797</v>
      </c>
      <c r="T466" s="5">
        <v>-71.04266149</v>
      </c>
    </row>
    <row r="467" spans="1:20" x14ac:dyDescent="0.3">
      <c r="A467" s="5" t="s">
        <v>1806</v>
      </c>
      <c r="B467" s="6">
        <v>32039</v>
      </c>
      <c r="C467" s="6" t="str">
        <f t="shared" si="136"/>
        <v>Active/Unavailable</v>
      </c>
      <c r="D467" s="5" t="s">
        <v>29</v>
      </c>
      <c r="E467" s="5" t="s">
        <v>1807</v>
      </c>
      <c r="F467" s="5" t="s">
        <v>1343</v>
      </c>
      <c r="G467" s="5" t="str">
        <f t="shared" si="131"/>
        <v>Not Available</v>
      </c>
      <c r="H467" s="5" t="str">
        <f t="shared" ref="H467:H468" si="138">"Not Available"</f>
        <v>Not Available</v>
      </c>
      <c r="I467" s="5" t="s">
        <v>65</v>
      </c>
      <c r="J467" s="5" t="s">
        <v>3387</v>
      </c>
      <c r="K467" s="5" t="s">
        <v>3393</v>
      </c>
      <c r="L467" s="5" t="s">
        <v>22</v>
      </c>
      <c r="M467" s="5" t="s">
        <v>3433</v>
      </c>
      <c r="N467" s="5" t="s">
        <v>1808</v>
      </c>
      <c r="O467" s="5" t="s">
        <v>33</v>
      </c>
      <c r="P467" s="5" t="s">
        <v>26</v>
      </c>
      <c r="Q467" s="5" t="s">
        <v>34</v>
      </c>
      <c r="R467" s="5">
        <v>2130</v>
      </c>
      <c r="S467" s="5">
        <v>42.377278810459501</v>
      </c>
      <c r="T467" s="5">
        <v>-71.044670010000004</v>
      </c>
    </row>
    <row r="468" spans="1:20" x14ac:dyDescent="0.3">
      <c r="A468" s="5" t="s">
        <v>1809</v>
      </c>
      <c r="B468" s="6">
        <v>27513</v>
      </c>
      <c r="C468" s="6" t="str">
        <f t="shared" si="136"/>
        <v>Active/Unavailable</v>
      </c>
      <c r="D468" s="5" t="s">
        <v>29</v>
      </c>
      <c r="E468" s="5" t="s">
        <v>1810</v>
      </c>
      <c r="F468" s="5" t="s">
        <v>1811</v>
      </c>
      <c r="G468" s="5" t="str">
        <f t="shared" si="131"/>
        <v>Not Available</v>
      </c>
      <c r="H468" s="5" t="str">
        <f t="shared" si="138"/>
        <v>Not Available</v>
      </c>
      <c r="I468" s="5" t="s">
        <v>22</v>
      </c>
      <c r="J468" s="5" t="s">
        <v>3389</v>
      </c>
      <c r="K468" s="5" t="s">
        <v>3394</v>
      </c>
      <c r="L468" s="5" t="s">
        <v>22</v>
      </c>
      <c r="M468" s="5" t="s">
        <v>3430</v>
      </c>
      <c r="N468" s="5" t="s">
        <v>1812</v>
      </c>
      <c r="O468" s="5" t="s">
        <v>33</v>
      </c>
      <c r="P468" s="5" t="s">
        <v>26</v>
      </c>
      <c r="Q468" s="5" t="s">
        <v>34</v>
      </c>
      <c r="R468" s="5">
        <v>2130</v>
      </c>
      <c r="S468" s="5">
        <v>42.329563598714898</v>
      </c>
      <c r="T468" s="5">
        <v>-71.023038540000002</v>
      </c>
    </row>
    <row r="469" spans="1:20" x14ac:dyDescent="0.3">
      <c r="A469" s="5" t="s">
        <v>1813</v>
      </c>
      <c r="B469" s="6">
        <v>30708</v>
      </c>
      <c r="C469" s="6" t="str">
        <f t="shared" si="136"/>
        <v>Active/Unavailable</v>
      </c>
      <c r="D469" s="5" t="s">
        <v>18</v>
      </c>
      <c r="E469" s="5" t="s">
        <v>1814</v>
      </c>
      <c r="F469" s="5" t="s">
        <v>1564</v>
      </c>
      <c r="G469" s="5" t="str">
        <f t="shared" si="131"/>
        <v>Not Available</v>
      </c>
      <c r="H469" s="5" t="s">
        <v>1062</v>
      </c>
      <c r="I469" s="5" t="s">
        <v>22</v>
      </c>
      <c r="J469" s="5" t="s">
        <v>3388</v>
      </c>
      <c r="K469" s="5" t="s">
        <v>3393</v>
      </c>
      <c r="L469" s="5" t="s">
        <v>23</v>
      </c>
      <c r="M469" s="5" t="s">
        <v>3396</v>
      </c>
      <c r="N469" s="5" t="s">
        <v>1815</v>
      </c>
      <c r="O469" s="5" t="s">
        <v>25</v>
      </c>
      <c r="P469" s="5" t="s">
        <v>26</v>
      </c>
      <c r="Q469" s="5" t="s">
        <v>27</v>
      </c>
      <c r="R469" s="5">
        <v>2186</v>
      </c>
      <c r="S469" s="5">
        <v>42.316407091658</v>
      </c>
      <c r="T469" s="5">
        <v>-70.968589600000001</v>
      </c>
    </row>
    <row r="470" spans="1:20" x14ac:dyDescent="0.3">
      <c r="A470" s="5" t="s">
        <v>1816</v>
      </c>
      <c r="B470" s="6">
        <v>33411</v>
      </c>
      <c r="C470" s="6" t="str">
        <f t="shared" si="136"/>
        <v>Active/Unavailable</v>
      </c>
      <c r="D470" s="5" t="s">
        <v>29</v>
      </c>
      <c r="E470" s="5" t="s">
        <v>1721</v>
      </c>
      <c r="F470" s="5" t="s">
        <v>106</v>
      </c>
      <c r="G470" s="5" t="str">
        <f t="shared" si="131"/>
        <v>Not Available</v>
      </c>
      <c r="H470" s="5" t="str">
        <f t="shared" ref="H470:H473" si="139">"Not Available"</f>
        <v>Not Available</v>
      </c>
      <c r="I470" s="5" t="s">
        <v>22</v>
      </c>
      <c r="J470" s="5" t="s">
        <v>3389</v>
      </c>
      <c r="K470" s="5" t="s">
        <v>3393</v>
      </c>
      <c r="L470" s="5" t="s">
        <v>22</v>
      </c>
      <c r="M470" s="5" t="s">
        <v>3613</v>
      </c>
      <c r="N470" s="5" t="s">
        <v>1817</v>
      </c>
      <c r="O470" s="5" t="s">
        <v>33</v>
      </c>
      <c r="P470" s="5" t="s">
        <v>26</v>
      </c>
      <c r="Q470" s="5" t="s">
        <v>34</v>
      </c>
      <c r="R470" s="5">
        <v>2110</v>
      </c>
      <c r="S470" s="5">
        <v>42.377143651356299</v>
      </c>
      <c r="T470" s="5">
        <v>-70.978924120000002</v>
      </c>
    </row>
    <row r="471" spans="1:20" x14ac:dyDescent="0.3">
      <c r="A471" s="5" t="s">
        <v>1818</v>
      </c>
      <c r="B471" s="6">
        <v>15979</v>
      </c>
      <c r="C471" s="6">
        <v>44266</v>
      </c>
      <c r="D471" s="5" t="s">
        <v>29</v>
      </c>
      <c r="E471" s="5" t="s">
        <v>1819</v>
      </c>
      <c r="F471" s="5" t="s">
        <v>1820</v>
      </c>
      <c r="G471" s="5" t="str">
        <f t="shared" si="131"/>
        <v>Not Available</v>
      </c>
      <c r="H471" s="5" t="str">
        <f t="shared" si="139"/>
        <v>Not Available</v>
      </c>
      <c r="I471" s="5" t="s">
        <v>65</v>
      </c>
      <c r="J471" s="5" t="s">
        <v>3388</v>
      </c>
      <c r="K471" s="5" t="s">
        <v>3394</v>
      </c>
      <c r="L471" s="5" t="s">
        <v>22</v>
      </c>
      <c r="M471" s="5" t="s">
        <v>3400</v>
      </c>
      <c r="N471" s="5" t="s">
        <v>1821</v>
      </c>
      <c r="O471" s="5" t="s">
        <v>33</v>
      </c>
      <c r="P471" s="5" t="s">
        <v>26</v>
      </c>
      <c r="Q471" s="5" t="s">
        <v>34</v>
      </c>
      <c r="R471" s="5">
        <v>2132</v>
      </c>
      <c r="S471" s="5">
        <v>42.305042869608599</v>
      </c>
      <c r="T471" s="5">
        <v>-71.002265199999997</v>
      </c>
    </row>
    <row r="472" spans="1:20" x14ac:dyDescent="0.3">
      <c r="A472" s="5" t="s">
        <v>1822</v>
      </c>
      <c r="B472" s="6">
        <v>16520</v>
      </c>
      <c r="C472" s="6" t="str">
        <f t="shared" ref="C472:C480" si="140">"Active/Unavailable"</f>
        <v>Active/Unavailable</v>
      </c>
      <c r="D472" s="5" t="s">
        <v>29</v>
      </c>
      <c r="E472" s="5" t="s">
        <v>1739</v>
      </c>
      <c r="F472" s="5" t="s">
        <v>983</v>
      </c>
      <c r="G472" s="5" t="str">
        <f t="shared" si="131"/>
        <v>Not Available</v>
      </c>
      <c r="H472" s="5" t="str">
        <f t="shared" si="139"/>
        <v>Not Available</v>
      </c>
      <c r="I472" s="5" t="s">
        <v>22</v>
      </c>
      <c r="J472" s="5" t="s">
        <v>3387</v>
      </c>
      <c r="K472" s="5" t="s">
        <v>3393</v>
      </c>
      <c r="L472" s="5" t="s">
        <v>22</v>
      </c>
      <c r="M472" s="5" t="s">
        <v>3567</v>
      </c>
      <c r="N472" s="5" t="s">
        <v>1823</v>
      </c>
      <c r="O472" s="5" t="s">
        <v>33</v>
      </c>
      <c r="P472" s="5" t="s">
        <v>26</v>
      </c>
      <c r="Q472" s="5" t="s">
        <v>34</v>
      </c>
      <c r="R472" s="5">
        <v>2120</v>
      </c>
      <c r="S472" s="5">
        <v>42.311038259036501</v>
      </c>
      <c r="T472" s="5">
        <v>-71.055422710000002</v>
      </c>
    </row>
    <row r="473" spans="1:20" x14ac:dyDescent="0.3">
      <c r="A473" s="5" t="s">
        <v>1824</v>
      </c>
      <c r="B473" s="6">
        <v>30182</v>
      </c>
      <c r="C473" s="6" t="str">
        <f t="shared" si="140"/>
        <v>Active/Unavailable</v>
      </c>
      <c r="D473" s="5" t="s">
        <v>29</v>
      </c>
      <c r="E473" s="5" t="s">
        <v>1825</v>
      </c>
      <c r="F473" s="5" t="s">
        <v>1021</v>
      </c>
      <c r="G473" s="5" t="str">
        <f t="shared" si="131"/>
        <v>Not Available</v>
      </c>
      <c r="H473" s="5" t="str">
        <f t="shared" si="139"/>
        <v>Not Available</v>
      </c>
      <c r="I473" s="5" t="s">
        <v>22</v>
      </c>
      <c r="J473" s="5" t="s">
        <v>3387</v>
      </c>
      <c r="K473" s="5" t="s">
        <v>3393</v>
      </c>
      <c r="L473" s="5" t="s">
        <v>22</v>
      </c>
      <c r="M473" s="5" t="s">
        <v>3445</v>
      </c>
      <c r="N473" s="5" t="s">
        <v>1826</v>
      </c>
      <c r="O473" s="5" t="s">
        <v>33</v>
      </c>
      <c r="P473" s="5" t="s">
        <v>26</v>
      </c>
      <c r="Q473" s="5" t="s">
        <v>34</v>
      </c>
      <c r="R473" s="5">
        <v>2109</v>
      </c>
      <c r="S473" s="5">
        <v>42.361518721702801</v>
      </c>
      <c r="T473" s="5">
        <v>-71.059908949999993</v>
      </c>
    </row>
    <row r="474" spans="1:20" x14ac:dyDescent="0.3">
      <c r="A474" s="5" t="s">
        <v>1827</v>
      </c>
      <c r="B474" s="6">
        <v>19720</v>
      </c>
      <c r="C474" s="6" t="str">
        <f t="shared" si="140"/>
        <v>Active/Unavailable</v>
      </c>
      <c r="D474" s="5" t="s">
        <v>18</v>
      </c>
      <c r="E474" s="5" t="s">
        <v>1828</v>
      </c>
      <c r="F474" s="5" t="s">
        <v>687</v>
      </c>
      <c r="G474" s="5" t="str">
        <f t="shared" si="131"/>
        <v>Not Available</v>
      </c>
      <c r="H474" s="5" t="s">
        <v>1829</v>
      </c>
      <c r="I474" s="5" t="s">
        <v>22</v>
      </c>
      <c r="J474" s="5" t="s">
        <v>3387</v>
      </c>
      <c r="K474" s="5" t="s">
        <v>3393</v>
      </c>
      <c r="L474" s="5" t="s">
        <v>23</v>
      </c>
      <c r="M474" s="5" t="s">
        <v>3414</v>
      </c>
      <c r="N474" s="5" t="s">
        <v>1830</v>
      </c>
      <c r="O474" s="5" t="s">
        <v>33</v>
      </c>
      <c r="P474" s="5" t="s">
        <v>26</v>
      </c>
      <c r="Q474" s="5" t="s">
        <v>34</v>
      </c>
      <c r="R474" s="5">
        <v>2113</v>
      </c>
      <c r="S474" s="5">
        <v>42.3452451</v>
      </c>
      <c r="T474" s="5">
        <v>-71.047810569999996</v>
      </c>
    </row>
    <row r="475" spans="1:20" x14ac:dyDescent="0.3">
      <c r="A475" s="5" t="s">
        <v>1831</v>
      </c>
      <c r="B475" s="6">
        <v>32980</v>
      </c>
      <c r="C475" s="6" t="str">
        <f t="shared" si="140"/>
        <v>Active/Unavailable</v>
      </c>
      <c r="D475" s="5" t="s">
        <v>29</v>
      </c>
      <c r="E475" s="5" t="s">
        <v>3355</v>
      </c>
      <c r="F475" s="5" t="s">
        <v>1832</v>
      </c>
      <c r="G475" s="5" t="str">
        <f t="shared" si="131"/>
        <v>Not Available</v>
      </c>
      <c r="H475" s="5" t="str">
        <f t="shared" ref="H475:H478" si="141">"Not Available"</f>
        <v>Not Available</v>
      </c>
      <c r="I475" s="5" t="s">
        <v>22</v>
      </c>
      <c r="J475" s="5" t="s">
        <v>3389</v>
      </c>
      <c r="K475" s="5" t="s">
        <v>3394</v>
      </c>
      <c r="L475" s="5" t="s">
        <v>22</v>
      </c>
      <c r="M475" s="5" t="s">
        <v>3519</v>
      </c>
      <c r="N475" s="5" t="s">
        <v>1833</v>
      </c>
      <c r="O475" s="5" t="s">
        <v>108</v>
      </c>
      <c r="P475" s="5" t="s">
        <v>26</v>
      </c>
      <c r="Q475" s="5" t="s">
        <v>34</v>
      </c>
      <c r="R475" s="5">
        <v>2151</v>
      </c>
      <c r="S475" s="5">
        <v>42.398755107760699</v>
      </c>
      <c r="T475" s="5">
        <v>-70.984835840000002</v>
      </c>
    </row>
    <row r="476" spans="1:20" x14ac:dyDescent="0.3">
      <c r="A476" s="5" t="s">
        <v>1834</v>
      </c>
      <c r="B476" s="6">
        <v>31502</v>
      </c>
      <c r="C476" s="6" t="str">
        <f t="shared" si="140"/>
        <v>Active/Unavailable</v>
      </c>
      <c r="D476" s="5" t="s">
        <v>29</v>
      </c>
      <c r="E476" s="5" t="s">
        <v>1835</v>
      </c>
      <c r="F476" s="5" t="s">
        <v>1836</v>
      </c>
      <c r="G476" s="5" t="str">
        <f t="shared" si="131"/>
        <v>Not Available</v>
      </c>
      <c r="H476" s="5" t="str">
        <f t="shared" si="141"/>
        <v>Not Available</v>
      </c>
      <c r="I476" s="5" t="s">
        <v>22</v>
      </c>
      <c r="J476" s="5" t="s">
        <v>3387</v>
      </c>
      <c r="K476" s="5" t="s">
        <v>3394</v>
      </c>
      <c r="L476" s="5" t="s">
        <v>22</v>
      </c>
      <c r="M476" s="5" t="s">
        <v>3435</v>
      </c>
      <c r="N476" s="5" t="s">
        <v>1837</v>
      </c>
      <c r="O476" s="5" t="s">
        <v>25</v>
      </c>
      <c r="P476" s="5" t="s">
        <v>26</v>
      </c>
      <c r="Q476" s="5" t="s">
        <v>27</v>
      </c>
      <c r="R476" s="5" t="str">
        <f t="shared" ref="R476:R477" si="142">"0000"</f>
        <v>0000</v>
      </c>
      <c r="S476" s="5">
        <v>42.280092377760198</v>
      </c>
      <c r="T476" s="5">
        <v>-71.033883790000004</v>
      </c>
    </row>
    <row r="477" spans="1:20" x14ac:dyDescent="0.3">
      <c r="A477" s="5" t="s">
        <v>1838</v>
      </c>
      <c r="B477" s="6">
        <v>14911</v>
      </c>
      <c r="C477" s="6" t="str">
        <f t="shared" si="140"/>
        <v>Active/Unavailable</v>
      </c>
      <c r="D477" s="5" t="s">
        <v>29</v>
      </c>
      <c r="E477" s="5" t="s">
        <v>1839</v>
      </c>
      <c r="F477" s="5" t="s">
        <v>1022</v>
      </c>
      <c r="G477" s="5" t="str">
        <f t="shared" si="131"/>
        <v>Not Available</v>
      </c>
      <c r="H477" s="5" t="str">
        <f t="shared" si="141"/>
        <v>Not Available</v>
      </c>
      <c r="I477" s="5" t="s">
        <v>22</v>
      </c>
      <c r="J477" s="5" t="s">
        <v>3387</v>
      </c>
      <c r="K477" s="5" t="s">
        <v>3394</v>
      </c>
      <c r="L477" s="5" t="s">
        <v>22</v>
      </c>
      <c r="M477" s="5" t="s">
        <v>3447</v>
      </c>
      <c r="N477" s="5" t="s">
        <v>1840</v>
      </c>
      <c r="O477" s="5" t="s">
        <v>33</v>
      </c>
      <c r="P477" s="5" t="s">
        <v>26</v>
      </c>
      <c r="Q477" s="5" t="s">
        <v>34</v>
      </c>
      <c r="R477" s="5" t="str">
        <f t="shared" si="142"/>
        <v>0000</v>
      </c>
      <c r="S477" s="5">
        <v>42.284761935806102</v>
      </c>
      <c r="T477" s="5">
        <v>-71.046592849999996</v>
      </c>
    </row>
    <row r="478" spans="1:20" x14ac:dyDescent="0.3">
      <c r="A478" s="5" t="s">
        <v>1841</v>
      </c>
      <c r="B478" s="6">
        <v>8606</v>
      </c>
      <c r="C478" s="6" t="str">
        <f t="shared" si="140"/>
        <v>Active/Unavailable</v>
      </c>
      <c r="D478" s="5" t="s">
        <v>29</v>
      </c>
      <c r="E478" s="5" t="s">
        <v>1842</v>
      </c>
      <c r="F478" s="5" t="s">
        <v>120</v>
      </c>
      <c r="G478" s="5" t="str">
        <f t="shared" si="131"/>
        <v>Not Available</v>
      </c>
      <c r="H478" s="5" t="str">
        <f t="shared" si="141"/>
        <v>Not Available</v>
      </c>
      <c r="I478" s="5" t="s">
        <v>22</v>
      </c>
      <c r="J478" s="5" t="s">
        <v>3389</v>
      </c>
      <c r="K478" s="5" t="s">
        <v>3393</v>
      </c>
      <c r="L478" s="5" t="s">
        <v>22</v>
      </c>
      <c r="M478" s="5" t="s">
        <v>3457</v>
      </c>
      <c r="N478" s="5" t="s">
        <v>1843</v>
      </c>
      <c r="O478" s="5" t="s">
        <v>33</v>
      </c>
      <c r="P478" s="5" t="s">
        <v>26</v>
      </c>
      <c r="Q478" s="5" t="s">
        <v>34</v>
      </c>
      <c r="R478" s="5">
        <v>2124</v>
      </c>
      <c r="S478" s="5">
        <v>42.378397037296402</v>
      </c>
      <c r="T478" s="5">
        <v>-71.029362259999999</v>
      </c>
    </row>
    <row r="479" spans="1:20" x14ac:dyDescent="0.3">
      <c r="A479" s="5" t="s">
        <v>1844</v>
      </c>
      <c r="B479" s="6">
        <v>33219</v>
      </c>
      <c r="C479" s="6" t="str">
        <f t="shared" si="140"/>
        <v>Active/Unavailable</v>
      </c>
      <c r="D479" s="5" t="s">
        <v>18</v>
      </c>
      <c r="E479" s="5" t="s">
        <v>1845</v>
      </c>
      <c r="F479" s="5" t="s">
        <v>336</v>
      </c>
      <c r="G479" s="5" t="str">
        <f t="shared" ref="G479:G502" si="143">"Not Available"</f>
        <v>Not Available</v>
      </c>
      <c r="H479" s="5" t="s">
        <v>532</v>
      </c>
      <c r="I479" s="5" t="s">
        <v>22</v>
      </c>
      <c r="J479" s="5" t="s">
        <v>3387</v>
      </c>
      <c r="K479" s="5" t="s">
        <v>3393</v>
      </c>
      <c r="L479" s="5" t="s">
        <v>23</v>
      </c>
      <c r="M479" s="5" t="s">
        <v>3478</v>
      </c>
      <c r="N479" s="5" t="s">
        <v>1846</v>
      </c>
      <c r="O479" s="5" t="s">
        <v>33</v>
      </c>
      <c r="P479" s="5" t="s">
        <v>26</v>
      </c>
      <c r="Q479" s="5" t="s">
        <v>34</v>
      </c>
      <c r="R479" s="5">
        <v>2111</v>
      </c>
      <c r="S479" s="5">
        <v>42.381754213379601</v>
      </c>
      <c r="T479" s="5">
        <v>-71.014123310000002</v>
      </c>
    </row>
    <row r="480" spans="1:20" x14ac:dyDescent="0.3">
      <c r="A480" s="5" t="s">
        <v>1847</v>
      </c>
      <c r="B480" s="6">
        <v>30608</v>
      </c>
      <c r="C480" s="6" t="str">
        <f t="shared" si="140"/>
        <v>Active/Unavailable</v>
      </c>
      <c r="D480" s="5" t="s">
        <v>18</v>
      </c>
      <c r="E480" s="5" t="s">
        <v>1848</v>
      </c>
      <c r="F480" s="5" t="s">
        <v>3361</v>
      </c>
      <c r="G480" s="5" t="str">
        <f t="shared" si="143"/>
        <v>Not Available</v>
      </c>
      <c r="H480" s="5" t="s">
        <v>1237</v>
      </c>
      <c r="I480" s="5" t="s">
        <v>22</v>
      </c>
      <c r="J480" s="5" t="s">
        <v>3388</v>
      </c>
      <c r="K480" s="5" t="s">
        <v>3393</v>
      </c>
      <c r="L480" s="5" t="s">
        <v>23</v>
      </c>
      <c r="M480" s="5" t="s">
        <v>3535</v>
      </c>
      <c r="N480" s="5" t="s">
        <v>1849</v>
      </c>
      <c r="O480" s="5" t="s">
        <v>145</v>
      </c>
      <c r="P480" s="5" t="s">
        <v>26</v>
      </c>
      <c r="Q480" s="5" t="s">
        <v>57</v>
      </c>
      <c r="R480" s="5">
        <v>2148</v>
      </c>
      <c r="S480" s="5">
        <v>42.3713979903088</v>
      </c>
      <c r="T480" s="5">
        <v>-71.087422439999997</v>
      </c>
    </row>
    <row r="481" spans="1:20" x14ac:dyDescent="0.3">
      <c r="A481" s="5" t="s">
        <v>1850</v>
      </c>
      <c r="B481" s="6">
        <v>9354</v>
      </c>
      <c r="C481" s="6">
        <v>41931</v>
      </c>
      <c r="D481" s="5" t="s">
        <v>18</v>
      </c>
      <c r="E481" s="5" t="s">
        <v>1851</v>
      </c>
      <c r="F481" s="5" t="s">
        <v>1157</v>
      </c>
      <c r="G481" s="5" t="str">
        <f t="shared" si="143"/>
        <v>Not Available</v>
      </c>
      <c r="H481" s="5" t="s">
        <v>1143</v>
      </c>
      <c r="I481" s="5" t="s">
        <v>22</v>
      </c>
      <c r="J481" s="5" t="s">
        <v>3389</v>
      </c>
      <c r="K481" s="5" t="s">
        <v>3393</v>
      </c>
      <c r="L481" s="5" t="s">
        <v>23</v>
      </c>
      <c r="M481" s="5" t="s">
        <v>3501</v>
      </c>
      <c r="N481" s="5" t="s">
        <v>1852</v>
      </c>
      <c r="O481" s="5" t="s">
        <v>33</v>
      </c>
      <c r="P481" s="5" t="s">
        <v>26</v>
      </c>
      <c r="Q481" s="5" t="s">
        <v>34</v>
      </c>
      <c r="R481" s="5">
        <v>2126</v>
      </c>
      <c r="S481" s="5">
        <v>42.304503590000003</v>
      </c>
      <c r="T481" s="5">
        <v>-71.047570820000004</v>
      </c>
    </row>
    <row r="482" spans="1:20" x14ac:dyDescent="0.3">
      <c r="A482" s="5" t="s">
        <v>1853</v>
      </c>
      <c r="B482" s="6">
        <v>10239</v>
      </c>
      <c r="C482" s="6" t="str">
        <f>"Active/Unavailable"</f>
        <v>Active/Unavailable</v>
      </c>
      <c r="D482" s="5" t="s">
        <v>18</v>
      </c>
      <c r="E482" s="5" t="s">
        <v>1854</v>
      </c>
      <c r="F482" s="5" t="s">
        <v>1855</v>
      </c>
      <c r="G482" s="5" t="str">
        <f t="shared" si="143"/>
        <v>Not Available</v>
      </c>
      <c r="H482" s="5" t="s">
        <v>1856</v>
      </c>
      <c r="I482" s="5" t="s">
        <v>22</v>
      </c>
      <c r="J482" s="5" t="s">
        <v>3389</v>
      </c>
      <c r="K482" s="5" t="s">
        <v>3394</v>
      </c>
      <c r="L482" s="5" t="s">
        <v>23</v>
      </c>
      <c r="M482" s="5" t="s">
        <v>3462</v>
      </c>
      <c r="N482" s="5" t="s">
        <v>1857</v>
      </c>
      <c r="O482" s="5" t="s">
        <v>33</v>
      </c>
      <c r="P482" s="5" t="s">
        <v>26</v>
      </c>
      <c r="Q482" s="5" t="s">
        <v>34</v>
      </c>
      <c r="R482" s="5">
        <v>2119</v>
      </c>
      <c r="S482" s="5">
        <v>42.378123760741303</v>
      </c>
      <c r="T482" s="5">
        <v>-70.989496329999994</v>
      </c>
    </row>
    <row r="483" spans="1:20" x14ac:dyDescent="0.3">
      <c r="A483" s="5" t="s">
        <v>1858</v>
      </c>
      <c r="B483" s="6">
        <v>9354</v>
      </c>
      <c r="C483" s="6">
        <v>42464</v>
      </c>
      <c r="D483" s="5" t="s">
        <v>18</v>
      </c>
      <c r="E483" s="5" t="s">
        <v>1859</v>
      </c>
      <c r="F483" s="5" t="s">
        <v>605</v>
      </c>
      <c r="G483" s="5" t="str">
        <f t="shared" si="143"/>
        <v>Not Available</v>
      </c>
      <c r="H483" s="5" t="s">
        <v>948</v>
      </c>
      <c r="I483" s="5" t="s">
        <v>22</v>
      </c>
      <c r="J483" s="5" t="s">
        <v>3389</v>
      </c>
      <c r="K483" s="5" t="s">
        <v>3393</v>
      </c>
      <c r="L483" s="5" t="s">
        <v>23</v>
      </c>
      <c r="M483" s="5" t="s">
        <v>3447</v>
      </c>
      <c r="N483" s="5" t="s">
        <v>1860</v>
      </c>
      <c r="O483" s="5" t="s">
        <v>33</v>
      </c>
      <c r="P483" s="5" t="s">
        <v>26</v>
      </c>
      <c r="Q483" s="5" t="s">
        <v>34</v>
      </c>
      <c r="R483" s="5">
        <v>2215</v>
      </c>
      <c r="S483" s="5">
        <v>42.334141849449999</v>
      </c>
      <c r="T483" s="5">
        <v>-71.069027419999998</v>
      </c>
    </row>
    <row r="484" spans="1:20" x14ac:dyDescent="0.3">
      <c r="A484" s="5" t="s">
        <v>1861</v>
      </c>
      <c r="B484" s="6">
        <v>31840</v>
      </c>
      <c r="C484" s="6" t="str">
        <f t="shared" ref="C484:C487" si="144">"Active/Unavailable"</f>
        <v>Active/Unavailable</v>
      </c>
      <c r="D484" s="5" t="s">
        <v>18</v>
      </c>
      <c r="E484" s="5" t="s">
        <v>1862</v>
      </c>
      <c r="F484" s="5" t="s">
        <v>3369</v>
      </c>
      <c r="G484" s="5" t="str">
        <f t="shared" si="143"/>
        <v>Not Available</v>
      </c>
      <c r="H484" s="5" t="s">
        <v>1820</v>
      </c>
      <c r="I484" s="5" t="s">
        <v>22</v>
      </c>
      <c r="J484" s="5" t="s">
        <v>3387</v>
      </c>
      <c r="K484" s="5" t="s">
        <v>3393</v>
      </c>
      <c r="L484" s="5" t="s">
        <v>23</v>
      </c>
      <c r="M484" s="5" t="s">
        <v>3509</v>
      </c>
      <c r="N484" s="5" t="s">
        <v>1863</v>
      </c>
      <c r="O484" s="5" t="s">
        <v>1864</v>
      </c>
      <c r="P484" s="5" t="s">
        <v>26</v>
      </c>
      <c r="Q484" s="5" t="s">
        <v>317</v>
      </c>
      <c r="R484" s="5" t="str">
        <f>"0000"</f>
        <v>0000</v>
      </c>
      <c r="S484" s="5">
        <v>42.2049211934022</v>
      </c>
      <c r="T484" s="5">
        <v>-70.859413889999999</v>
      </c>
    </row>
    <row r="485" spans="1:20" x14ac:dyDescent="0.3">
      <c r="A485" s="5" t="s">
        <v>1865</v>
      </c>
      <c r="B485" s="6">
        <v>23335</v>
      </c>
      <c r="C485" s="6" t="str">
        <f t="shared" si="144"/>
        <v>Active/Unavailable</v>
      </c>
      <c r="D485" s="5" t="s">
        <v>18</v>
      </c>
      <c r="E485" s="5" t="s">
        <v>1866</v>
      </c>
      <c r="F485" s="5" t="s">
        <v>1867</v>
      </c>
      <c r="G485" s="5" t="str">
        <f t="shared" si="143"/>
        <v>Not Available</v>
      </c>
      <c r="H485" s="5" t="s">
        <v>1868</v>
      </c>
      <c r="I485" s="5" t="s">
        <v>22</v>
      </c>
      <c r="J485" s="5" t="s">
        <v>3387</v>
      </c>
      <c r="K485" s="5" t="s">
        <v>3394</v>
      </c>
      <c r="L485" s="5" t="s">
        <v>23</v>
      </c>
      <c r="M485" s="5" t="s">
        <v>3601</v>
      </c>
      <c r="N485" s="5" t="s">
        <v>1869</v>
      </c>
      <c r="O485" s="5" t="s">
        <v>172</v>
      </c>
      <c r="P485" s="5" t="s">
        <v>26</v>
      </c>
      <c r="Q485" s="5" t="s">
        <v>34</v>
      </c>
      <c r="R485" s="5">
        <v>2150</v>
      </c>
      <c r="S485" s="5">
        <v>42.3596825977517</v>
      </c>
      <c r="T485" s="5">
        <v>-71.083182160000007</v>
      </c>
    </row>
    <row r="486" spans="1:20" x14ac:dyDescent="0.3">
      <c r="A486" s="5" t="s">
        <v>1870</v>
      </c>
      <c r="B486" s="6">
        <v>25564</v>
      </c>
      <c r="C486" s="6" t="str">
        <f t="shared" si="144"/>
        <v>Active/Unavailable</v>
      </c>
      <c r="D486" s="5" t="s">
        <v>29</v>
      </c>
      <c r="E486" s="5" t="s">
        <v>1871</v>
      </c>
      <c r="F486" s="5" t="s">
        <v>1872</v>
      </c>
      <c r="G486" s="5" t="str">
        <f t="shared" si="143"/>
        <v>Not Available</v>
      </c>
      <c r="H486" s="5" t="str">
        <f t="shared" ref="H486:H488" si="145">"Not Available"</f>
        <v>Not Available</v>
      </c>
      <c r="I486" s="5" t="s">
        <v>65</v>
      </c>
      <c r="J486" s="5" t="s">
        <v>3387</v>
      </c>
      <c r="K486" s="5" t="s">
        <v>3393</v>
      </c>
      <c r="L486" s="5" t="s">
        <v>22</v>
      </c>
      <c r="M486" s="5" t="s">
        <v>3517</v>
      </c>
      <c r="N486" s="5" t="s">
        <v>1873</v>
      </c>
      <c r="O486" s="5" t="s">
        <v>33</v>
      </c>
      <c r="P486" s="5" t="s">
        <v>26</v>
      </c>
      <c r="Q486" s="5" t="s">
        <v>34</v>
      </c>
      <c r="R486" s="5">
        <v>2163</v>
      </c>
      <c r="S486" s="5">
        <v>42.381290367729001</v>
      </c>
      <c r="T486" s="5">
        <v>-71.038482200000004</v>
      </c>
    </row>
    <row r="487" spans="1:20" x14ac:dyDescent="0.3">
      <c r="A487" s="7" t="s">
        <v>1874</v>
      </c>
      <c r="B487" s="6">
        <v>21053</v>
      </c>
      <c r="C487" s="6" t="str">
        <f t="shared" si="144"/>
        <v>Active/Unavailable</v>
      </c>
      <c r="D487" s="5" t="s">
        <v>29</v>
      </c>
      <c r="E487" s="5" t="s">
        <v>1875</v>
      </c>
      <c r="F487" s="5" t="s">
        <v>54</v>
      </c>
      <c r="G487" s="5" t="str">
        <f t="shared" si="143"/>
        <v>Not Available</v>
      </c>
      <c r="H487" s="5" t="str">
        <f t="shared" si="145"/>
        <v>Not Available</v>
      </c>
      <c r="I487" s="5" t="s">
        <v>22</v>
      </c>
      <c r="J487" s="5" t="s">
        <v>3389</v>
      </c>
      <c r="K487" s="5" t="s">
        <v>3394</v>
      </c>
      <c r="L487" s="5" t="s">
        <v>22</v>
      </c>
      <c r="M487" s="5" t="s">
        <v>3562</v>
      </c>
      <c r="N487" s="5" t="s">
        <v>1876</v>
      </c>
      <c r="O487" s="5" t="s">
        <v>108</v>
      </c>
      <c r="P487" s="5" t="s">
        <v>26</v>
      </c>
      <c r="Q487" s="5" t="s">
        <v>34</v>
      </c>
      <c r="R487" s="5">
        <v>2151</v>
      </c>
      <c r="S487" s="5">
        <v>42.385997999430998</v>
      </c>
      <c r="T487" s="5">
        <v>-70.964385210000003</v>
      </c>
    </row>
    <row r="488" spans="1:20" x14ac:dyDescent="0.3">
      <c r="A488" s="5" t="s">
        <v>1877</v>
      </c>
      <c r="B488" s="6">
        <v>11364</v>
      </c>
      <c r="C488" s="6">
        <v>42129</v>
      </c>
      <c r="D488" s="5" t="s">
        <v>29</v>
      </c>
      <c r="E488" s="5" t="s">
        <v>72</v>
      </c>
      <c r="F488" s="5" t="s">
        <v>221</v>
      </c>
      <c r="G488" s="5" t="str">
        <f t="shared" si="143"/>
        <v>Not Available</v>
      </c>
      <c r="H488" s="5" t="str">
        <f t="shared" si="145"/>
        <v>Not Available</v>
      </c>
      <c r="I488" s="5" t="s">
        <v>22</v>
      </c>
      <c r="J488" s="5" t="s">
        <v>3387</v>
      </c>
      <c r="K488" s="5" t="s">
        <v>3393</v>
      </c>
      <c r="L488" s="5" t="s">
        <v>22</v>
      </c>
      <c r="M488" s="5" t="s">
        <v>3435</v>
      </c>
      <c r="N488" s="5" t="s">
        <v>1878</v>
      </c>
      <c r="O488" s="5" t="s">
        <v>172</v>
      </c>
      <c r="P488" s="5" t="s">
        <v>26</v>
      </c>
      <c r="Q488" s="5" t="s">
        <v>34</v>
      </c>
      <c r="R488" s="5" t="str">
        <f>"0000"</f>
        <v>0000</v>
      </c>
      <c r="S488" s="5">
        <v>42.352849192779097</v>
      </c>
      <c r="T488" s="5">
        <v>-71.011485219999997</v>
      </c>
    </row>
    <row r="489" spans="1:20" x14ac:dyDescent="0.3">
      <c r="A489" s="5" t="s">
        <v>1879</v>
      </c>
      <c r="B489" s="6">
        <v>21562</v>
      </c>
      <c r="C489" s="6" t="str">
        <f t="shared" ref="C489:C502" si="146">"Active/Unavailable"</f>
        <v>Active/Unavailable</v>
      </c>
      <c r="D489" s="5" t="s">
        <v>18</v>
      </c>
      <c r="E489" s="5" t="s">
        <v>1880</v>
      </c>
      <c r="F489" s="5" t="s">
        <v>1881</v>
      </c>
      <c r="G489" s="5" t="str">
        <f t="shared" si="143"/>
        <v>Not Available</v>
      </c>
      <c r="H489" s="5" t="s">
        <v>709</v>
      </c>
      <c r="I489" s="5" t="s">
        <v>22</v>
      </c>
      <c r="J489" s="5" t="s">
        <v>3387</v>
      </c>
      <c r="K489" s="5" t="s">
        <v>3393</v>
      </c>
      <c r="L489" s="5" t="s">
        <v>23</v>
      </c>
      <c r="M489" s="5" t="s">
        <v>3496</v>
      </c>
      <c r="N489" s="5" t="s">
        <v>1882</v>
      </c>
      <c r="O489" s="5" t="s">
        <v>33</v>
      </c>
      <c r="P489" s="5" t="s">
        <v>26</v>
      </c>
      <c r="Q489" s="5" t="s">
        <v>34</v>
      </c>
      <c r="R489" s="5">
        <v>2120</v>
      </c>
      <c r="S489" s="5">
        <v>42.3910287496238</v>
      </c>
      <c r="T489" s="5">
        <v>-71.054928070000003</v>
      </c>
    </row>
    <row r="490" spans="1:20" x14ac:dyDescent="0.3">
      <c r="A490" s="5" t="s">
        <v>1883</v>
      </c>
      <c r="B490" s="6">
        <v>15219</v>
      </c>
      <c r="C490" s="6" t="str">
        <f t="shared" si="146"/>
        <v>Active/Unavailable</v>
      </c>
      <c r="D490" s="5" t="s">
        <v>29</v>
      </c>
      <c r="E490" s="5" t="s">
        <v>1295</v>
      </c>
      <c r="F490" s="5" t="s">
        <v>3361</v>
      </c>
      <c r="G490" s="5" t="str">
        <f t="shared" si="143"/>
        <v>Not Available</v>
      </c>
      <c r="H490" s="5" t="str">
        <f>"Not Available"</f>
        <v>Not Available</v>
      </c>
      <c r="I490" s="5" t="s">
        <v>22</v>
      </c>
      <c r="J490" s="5" t="s">
        <v>3389</v>
      </c>
      <c r="K490" s="5" t="s">
        <v>3393</v>
      </c>
      <c r="L490" s="5" t="s">
        <v>22</v>
      </c>
      <c r="M490" s="5" t="s">
        <v>3614</v>
      </c>
      <c r="N490" s="5" t="s">
        <v>1884</v>
      </c>
      <c r="O490" s="5" t="s">
        <v>33</v>
      </c>
      <c r="P490" s="5" t="s">
        <v>26</v>
      </c>
      <c r="Q490" s="5" t="s">
        <v>34</v>
      </c>
      <c r="R490" s="5">
        <v>2136</v>
      </c>
      <c r="S490" s="5">
        <v>42.3096820030758</v>
      </c>
      <c r="T490" s="5">
        <v>-71.017564820000004</v>
      </c>
    </row>
    <row r="491" spans="1:20" x14ac:dyDescent="0.3">
      <c r="A491" s="5" t="s">
        <v>1885</v>
      </c>
      <c r="B491" s="6">
        <v>19308</v>
      </c>
      <c r="C491" s="6" t="str">
        <f t="shared" si="146"/>
        <v>Active/Unavailable</v>
      </c>
      <c r="D491" s="5" t="s">
        <v>18</v>
      </c>
      <c r="E491" s="5" t="s">
        <v>1886</v>
      </c>
      <c r="F491" s="5" t="s">
        <v>856</v>
      </c>
      <c r="G491" s="5" t="str">
        <f t="shared" si="143"/>
        <v>Not Available</v>
      </c>
      <c r="H491" s="5" t="s">
        <v>774</v>
      </c>
      <c r="I491" s="5" t="s">
        <v>22</v>
      </c>
      <c r="J491" s="5" t="s">
        <v>3387</v>
      </c>
      <c r="K491" s="5" t="s">
        <v>3393</v>
      </c>
      <c r="L491" s="5" t="s">
        <v>23</v>
      </c>
      <c r="M491" s="5" t="s">
        <v>3415</v>
      </c>
      <c r="N491" s="5" t="s">
        <v>1887</v>
      </c>
      <c r="O491" s="5" t="s">
        <v>88</v>
      </c>
      <c r="P491" s="5" t="s">
        <v>26</v>
      </c>
      <c r="Q491" s="5" t="s">
        <v>57</v>
      </c>
      <c r="R491" s="5">
        <v>2140</v>
      </c>
      <c r="S491" s="5">
        <v>42.374630600000003</v>
      </c>
      <c r="T491" s="5">
        <v>-71.097573220000001</v>
      </c>
    </row>
    <row r="492" spans="1:20" x14ac:dyDescent="0.3">
      <c r="A492" s="5" t="s">
        <v>1888</v>
      </c>
      <c r="B492" s="6">
        <v>24637</v>
      </c>
      <c r="C492" s="6" t="str">
        <f t="shared" si="146"/>
        <v>Active/Unavailable</v>
      </c>
      <c r="D492" s="5" t="s">
        <v>29</v>
      </c>
      <c r="E492" s="5" t="s">
        <v>802</v>
      </c>
      <c r="F492" s="5" t="s">
        <v>705</v>
      </c>
      <c r="G492" s="5" t="str">
        <f t="shared" si="143"/>
        <v>Not Available</v>
      </c>
      <c r="H492" s="5" t="str">
        <f t="shared" ref="H492:H493" si="147">"Not Available"</f>
        <v>Not Available</v>
      </c>
      <c r="I492" s="5" t="s">
        <v>65</v>
      </c>
      <c r="J492" s="5" t="s">
        <v>3387</v>
      </c>
      <c r="K492" s="5" t="s">
        <v>3394</v>
      </c>
      <c r="L492" s="5" t="s">
        <v>22</v>
      </c>
      <c r="M492" s="5" t="s">
        <v>3615</v>
      </c>
      <c r="N492" s="5" t="s">
        <v>1889</v>
      </c>
      <c r="O492" s="5" t="s">
        <v>108</v>
      </c>
      <c r="P492" s="5" t="s">
        <v>26</v>
      </c>
      <c r="Q492" s="5" t="s">
        <v>34</v>
      </c>
      <c r="R492" s="5">
        <v>2151</v>
      </c>
      <c r="S492" s="5">
        <v>42.382134910100099</v>
      </c>
      <c r="T492" s="5">
        <v>-70.996019029999999</v>
      </c>
    </row>
    <row r="493" spans="1:20" x14ac:dyDescent="0.3">
      <c r="A493" s="5" t="s">
        <v>1890</v>
      </c>
      <c r="B493" s="6">
        <v>14548</v>
      </c>
      <c r="C493" s="6" t="str">
        <f t="shared" si="146"/>
        <v>Active/Unavailable</v>
      </c>
      <c r="D493" s="5" t="s">
        <v>29</v>
      </c>
      <c r="E493" s="5" t="s">
        <v>1891</v>
      </c>
      <c r="F493" s="5" t="s">
        <v>206</v>
      </c>
      <c r="G493" s="5" t="str">
        <f t="shared" si="143"/>
        <v>Not Available</v>
      </c>
      <c r="H493" s="5" t="str">
        <f t="shared" si="147"/>
        <v>Not Available</v>
      </c>
      <c r="I493" s="5" t="s">
        <v>22</v>
      </c>
      <c r="J493" s="5" t="s">
        <v>3387</v>
      </c>
      <c r="K493" s="5" t="s">
        <v>3393</v>
      </c>
      <c r="L493" s="5" t="s">
        <v>22</v>
      </c>
      <c r="M493" s="5" t="s">
        <v>3429</v>
      </c>
      <c r="N493" s="5" t="s">
        <v>1892</v>
      </c>
      <c r="O493" s="5" t="s">
        <v>33</v>
      </c>
      <c r="P493" s="5" t="s">
        <v>26</v>
      </c>
      <c r="Q493" s="5" t="s">
        <v>34</v>
      </c>
      <c r="R493" s="5">
        <v>2152</v>
      </c>
      <c r="S493" s="5">
        <v>42.365406512598199</v>
      </c>
      <c r="T493" s="5">
        <v>-71.070405780000002</v>
      </c>
    </row>
    <row r="494" spans="1:20" x14ac:dyDescent="0.3">
      <c r="A494" s="5" t="s">
        <v>1893</v>
      </c>
      <c r="B494" s="6">
        <v>30879</v>
      </c>
      <c r="C494" s="6" t="str">
        <f t="shared" si="146"/>
        <v>Active/Unavailable</v>
      </c>
      <c r="D494" s="5" t="s">
        <v>18</v>
      </c>
      <c r="E494" s="5" t="s">
        <v>1894</v>
      </c>
      <c r="F494" s="5" t="s">
        <v>258</v>
      </c>
      <c r="G494" s="5" t="str">
        <f t="shared" si="143"/>
        <v>Not Available</v>
      </c>
      <c r="H494" s="5" t="s">
        <v>1351</v>
      </c>
      <c r="I494" s="5" t="s">
        <v>22</v>
      </c>
      <c r="J494" s="5" t="s">
        <v>3388</v>
      </c>
      <c r="K494" s="5" t="s">
        <v>3393</v>
      </c>
      <c r="L494" s="5" t="s">
        <v>23</v>
      </c>
      <c r="M494" s="5" t="s">
        <v>3616</v>
      </c>
      <c r="N494" s="5" t="s">
        <v>1895</v>
      </c>
      <c r="O494" s="5" t="s">
        <v>56</v>
      </c>
      <c r="P494" s="5" t="s">
        <v>26</v>
      </c>
      <c r="Q494" s="5" t="s">
        <v>57</v>
      </c>
      <c r="R494" s="5">
        <v>2141</v>
      </c>
      <c r="S494" s="5">
        <v>42.368541396274601</v>
      </c>
      <c r="T494" s="5">
        <v>-71.10314692</v>
      </c>
    </row>
    <row r="495" spans="1:20" x14ac:dyDescent="0.3">
      <c r="A495" s="5" t="s">
        <v>1896</v>
      </c>
      <c r="B495" s="6">
        <v>12061</v>
      </c>
      <c r="C495" s="6" t="str">
        <f t="shared" si="146"/>
        <v>Active/Unavailable</v>
      </c>
      <c r="D495" s="5" t="s">
        <v>18</v>
      </c>
      <c r="E495" s="5" t="s">
        <v>1897</v>
      </c>
      <c r="F495" s="5" t="s">
        <v>1898</v>
      </c>
      <c r="G495" s="5" t="str">
        <f t="shared" si="143"/>
        <v>Not Available</v>
      </c>
      <c r="H495" s="5" t="s">
        <v>497</v>
      </c>
      <c r="I495" s="5" t="s">
        <v>22</v>
      </c>
      <c r="J495" s="5" t="s">
        <v>3387</v>
      </c>
      <c r="K495" s="5" t="s">
        <v>3393</v>
      </c>
      <c r="L495" s="5" t="s">
        <v>23</v>
      </c>
      <c r="M495" s="5" t="s">
        <v>3617</v>
      </c>
      <c r="N495" s="5" t="s">
        <v>1899</v>
      </c>
      <c r="O495" s="5" t="s">
        <v>33</v>
      </c>
      <c r="P495" s="5" t="s">
        <v>26</v>
      </c>
      <c r="Q495" s="5" t="s">
        <v>34</v>
      </c>
      <c r="R495" s="5" t="str">
        <f>"0000"</f>
        <v>0000</v>
      </c>
      <c r="S495" s="5">
        <v>42.388911276061599</v>
      </c>
      <c r="T495" s="5">
        <v>-71.033021469999994</v>
      </c>
    </row>
    <row r="496" spans="1:20" x14ac:dyDescent="0.3">
      <c r="A496" s="5" t="s">
        <v>1900</v>
      </c>
      <c r="B496" s="6">
        <v>26460</v>
      </c>
      <c r="C496" s="6" t="str">
        <f t="shared" si="146"/>
        <v>Active/Unavailable</v>
      </c>
      <c r="D496" s="5" t="s">
        <v>29</v>
      </c>
      <c r="E496" s="5" t="s">
        <v>1901</v>
      </c>
      <c r="F496" s="5" t="s">
        <v>1902</v>
      </c>
      <c r="G496" s="5" t="str">
        <f t="shared" si="143"/>
        <v>Not Available</v>
      </c>
      <c r="H496" s="5" t="str">
        <f>"Not Available"</f>
        <v>Not Available</v>
      </c>
      <c r="I496" s="5" t="s">
        <v>22</v>
      </c>
      <c r="J496" s="5" t="s">
        <v>3388</v>
      </c>
      <c r="K496" s="5" t="s">
        <v>3393</v>
      </c>
      <c r="L496" s="5" t="s">
        <v>22</v>
      </c>
      <c r="M496" s="5" t="s">
        <v>3446</v>
      </c>
      <c r="N496" s="5" t="s">
        <v>1903</v>
      </c>
      <c r="O496" s="5" t="s">
        <v>33</v>
      </c>
      <c r="P496" s="5" t="s">
        <v>26</v>
      </c>
      <c r="Q496" s="5" t="s">
        <v>34</v>
      </c>
      <c r="R496" s="5">
        <v>2132</v>
      </c>
      <c r="S496" s="5">
        <v>42.292118686750001</v>
      </c>
      <c r="T496" s="5">
        <v>-71.051126370000006</v>
      </c>
    </row>
    <row r="497" spans="1:20" x14ac:dyDescent="0.3">
      <c r="A497" s="5" t="s">
        <v>1904</v>
      </c>
      <c r="B497" s="6">
        <v>15246</v>
      </c>
      <c r="C497" s="6" t="str">
        <f t="shared" si="146"/>
        <v>Active/Unavailable</v>
      </c>
      <c r="D497" s="5" t="s">
        <v>18</v>
      </c>
      <c r="E497" s="5" t="s">
        <v>1905</v>
      </c>
      <c r="F497" s="5" t="s">
        <v>3370</v>
      </c>
      <c r="G497" s="5" t="str">
        <f t="shared" si="143"/>
        <v>Not Available</v>
      </c>
      <c r="H497" s="5" t="s">
        <v>668</v>
      </c>
      <c r="I497" s="5" t="s">
        <v>22</v>
      </c>
      <c r="J497" s="5" t="s">
        <v>3387</v>
      </c>
      <c r="K497" s="5" t="s">
        <v>3393</v>
      </c>
      <c r="L497" s="5" t="s">
        <v>23</v>
      </c>
      <c r="M497" s="5" t="s">
        <v>3396</v>
      </c>
      <c r="N497" s="5" t="s">
        <v>1906</v>
      </c>
      <c r="O497" s="5" t="s">
        <v>172</v>
      </c>
      <c r="P497" s="5" t="s">
        <v>26</v>
      </c>
      <c r="Q497" s="5" t="s">
        <v>34</v>
      </c>
      <c r="R497" s="5">
        <v>2151</v>
      </c>
      <c r="S497" s="5">
        <v>42.385259824105603</v>
      </c>
      <c r="T497" s="5">
        <v>-70.991047289999997</v>
      </c>
    </row>
    <row r="498" spans="1:20" x14ac:dyDescent="0.3">
      <c r="A498" s="5" t="s">
        <v>1907</v>
      </c>
      <c r="B498" s="6">
        <v>14516</v>
      </c>
      <c r="C498" s="6" t="str">
        <f t="shared" si="146"/>
        <v>Active/Unavailable</v>
      </c>
      <c r="D498" s="5" t="s">
        <v>18</v>
      </c>
      <c r="E498" s="5" t="s">
        <v>1908</v>
      </c>
      <c r="F498" s="5" t="s">
        <v>1881</v>
      </c>
      <c r="G498" s="5" t="str">
        <f t="shared" si="143"/>
        <v>Not Available</v>
      </c>
      <c r="H498" s="5" t="s">
        <v>925</v>
      </c>
      <c r="I498" s="5" t="s">
        <v>22</v>
      </c>
      <c r="J498" s="5" t="s">
        <v>3390</v>
      </c>
      <c r="K498" s="5" t="s">
        <v>3393</v>
      </c>
      <c r="L498" s="5" t="s">
        <v>23</v>
      </c>
      <c r="M498" s="5" t="s">
        <v>3618</v>
      </c>
      <c r="N498" s="5" t="s">
        <v>1909</v>
      </c>
      <c r="O498" s="5" t="s">
        <v>25</v>
      </c>
      <c r="P498" s="5" t="s">
        <v>26</v>
      </c>
      <c r="Q498" s="5" t="s">
        <v>27</v>
      </c>
      <c r="R498" s="5">
        <v>2170</v>
      </c>
      <c r="S498" s="5">
        <v>42.316165085860398</v>
      </c>
      <c r="T498" s="5">
        <v>-71.042048249999993</v>
      </c>
    </row>
    <row r="499" spans="1:20" x14ac:dyDescent="0.3">
      <c r="A499" s="5" t="s">
        <v>1910</v>
      </c>
      <c r="B499" s="6">
        <v>16917</v>
      </c>
      <c r="C499" s="6" t="str">
        <f t="shared" si="146"/>
        <v>Active/Unavailable</v>
      </c>
      <c r="D499" s="5" t="s">
        <v>18</v>
      </c>
      <c r="E499" s="5" t="s">
        <v>1911</v>
      </c>
      <c r="F499" s="5" t="s">
        <v>264</v>
      </c>
      <c r="G499" s="5" t="str">
        <f t="shared" si="143"/>
        <v>Not Available</v>
      </c>
      <c r="H499" s="5" t="s">
        <v>1187</v>
      </c>
      <c r="I499" s="5" t="s">
        <v>22</v>
      </c>
      <c r="J499" s="5" t="s">
        <v>3387</v>
      </c>
      <c r="K499" s="5" t="s">
        <v>3393</v>
      </c>
      <c r="L499" s="5" t="s">
        <v>23</v>
      </c>
      <c r="M499" s="5" t="s">
        <v>3400</v>
      </c>
      <c r="N499" s="5" t="s">
        <v>1912</v>
      </c>
      <c r="O499" s="5" t="s">
        <v>209</v>
      </c>
      <c r="P499" s="5" t="s">
        <v>26</v>
      </c>
      <c r="Q499" s="5" t="s">
        <v>27</v>
      </c>
      <c r="R499" s="5">
        <v>2190</v>
      </c>
      <c r="S499" s="5">
        <v>42.213388758143097</v>
      </c>
      <c r="T499" s="5">
        <v>-70.938692529999997</v>
      </c>
    </row>
    <row r="500" spans="1:20" x14ac:dyDescent="0.3">
      <c r="A500" s="5" t="s">
        <v>1913</v>
      </c>
      <c r="B500" s="6">
        <v>24704</v>
      </c>
      <c r="C500" s="6" t="str">
        <f t="shared" si="146"/>
        <v>Active/Unavailable</v>
      </c>
      <c r="D500" s="5" t="s">
        <v>29</v>
      </c>
      <c r="E500" s="5" t="s">
        <v>1914</v>
      </c>
      <c r="F500" s="5" t="s">
        <v>764</v>
      </c>
      <c r="G500" s="5" t="str">
        <f t="shared" si="143"/>
        <v>Not Available</v>
      </c>
      <c r="H500" s="5" t="str">
        <f t="shared" ref="H500:H501" si="148">"Not Available"</f>
        <v>Not Available</v>
      </c>
      <c r="I500" s="5" t="s">
        <v>22</v>
      </c>
      <c r="J500" s="5" t="s">
        <v>3387</v>
      </c>
      <c r="K500" s="5" t="s">
        <v>3393</v>
      </c>
      <c r="L500" s="5" t="s">
        <v>22</v>
      </c>
      <c r="M500" s="5" t="s">
        <v>3408</v>
      </c>
      <c r="N500" s="5" t="s">
        <v>1915</v>
      </c>
      <c r="O500" s="5" t="s">
        <v>33</v>
      </c>
      <c r="P500" s="5" t="s">
        <v>26</v>
      </c>
      <c r="Q500" s="5" t="s">
        <v>34</v>
      </c>
      <c r="R500" s="5">
        <v>2108</v>
      </c>
      <c r="S500" s="5">
        <v>42.333477714808801</v>
      </c>
      <c r="T500" s="5">
        <v>-71.011015330000006</v>
      </c>
    </row>
    <row r="501" spans="1:20" x14ac:dyDescent="0.3">
      <c r="A501" s="5" t="s">
        <v>1916</v>
      </c>
      <c r="B501" s="6">
        <v>17496</v>
      </c>
      <c r="C501" s="6" t="str">
        <f t="shared" si="146"/>
        <v>Active/Unavailable</v>
      </c>
      <c r="D501" s="5" t="s">
        <v>29</v>
      </c>
      <c r="E501" s="5" t="s">
        <v>392</v>
      </c>
      <c r="F501" s="5" t="s">
        <v>222</v>
      </c>
      <c r="G501" s="5" t="str">
        <f t="shared" si="143"/>
        <v>Not Available</v>
      </c>
      <c r="H501" s="5" t="str">
        <f t="shared" si="148"/>
        <v>Not Available</v>
      </c>
      <c r="I501" s="5" t="s">
        <v>65</v>
      </c>
      <c r="J501" s="5" t="s">
        <v>3387</v>
      </c>
      <c r="K501" s="5" t="s">
        <v>3393</v>
      </c>
      <c r="L501" s="5" t="s">
        <v>22</v>
      </c>
      <c r="M501" s="5" t="s">
        <v>3421</v>
      </c>
      <c r="N501" s="5" t="s">
        <v>1917</v>
      </c>
      <c r="O501" s="5" t="s">
        <v>56</v>
      </c>
      <c r="P501" s="5" t="s">
        <v>26</v>
      </c>
      <c r="Q501" s="5" t="s">
        <v>57</v>
      </c>
      <c r="R501" s="5">
        <v>2140</v>
      </c>
      <c r="S501" s="5">
        <v>42.3302722620951</v>
      </c>
      <c r="T501" s="5">
        <v>-71.055213519999995</v>
      </c>
    </row>
    <row r="502" spans="1:20" x14ac:dyDescent="0.3">
      <c r="A502" s="5" t="s">
        <v>1918</v>
      </c>
      <c r="B502" s="6">
        <v>24674</v>
      </c>
      <c r="C502" s="6" t="str">
        <f t="shared" si="146"/>
        <v>Active/Unavailable</v>
      </c>
      <c r="D502" s="5" t="s">
        <v>18</v>
      </c>
      <c r="E502" s="5" t="s">
        <v>1919</v>
      </c>
      <c r="F502" s="5" t="s">
        <v>1920</v>
      </c>
      <c r="G502" s="5" t="str">
        <f t="shared" si="143"/>
        <v>Not Available</v>
      </c>
      <c r="H502" s="5" t="s">
        <v>1553</v>
      </c>
      <c r="I502" s="5" t="s">
        <v>22</v>
      </c>
      <c r="J502" s="5" t="s">
        <v>3387</v>
      </c>
      <c r="K502" s="5" t="s">
        <v>3393</v>
      </c>
      <c r="L502" s="5" t="s">
        <v>23</v>
      </c>
      <c r="M502" s="5" t="s">
        <v>3619</v>
      </c>
      <c r="N502" s="5" t="s">
        <v>1921</v>
      </c>
      <c r="O502" s="5" t="s">
        <v>33</v>
      </c>
      <c r="P502" s="5" t="s">
        <v>26</v>
      </c>
      <c r="Q502" s="5" t="s">
        <v>34</v>
      </c>
      <c r="R502" s="5">
        <v>2109</v>
      </c>
      <c r="S502" s="5">
        <v>42.334792630285897</v>
      </c>
      <c r="T502" s="5">
        <v>-71.055794270000007</v>
      </c>
    </row>
    <row r="503" spans="1:20" x14ac:dyDescent="0.3">
      <c r="A503" s="5" t="s">
        <v>1922</v>
      </c>
      <c r="B503" s="6">
        <v>11685</v>
      </c>
      <c r="C503" s="6">
        <v>42932</v>
      </c>
      <c r="D503" s="5" t="s">
        <v>29</v>
      </c>
      <c r="E503" s="5" t="s">
        <v>1923</v>
      </c>
      <c r="F503" s="5" t="s">
        <v>1924</v>
      </c>
      <c r="G503" s="5" t="s">
        <v>314</v>
      </c>
      <c r="H503" s="5" t="str">
        <f t="shared" ref="H503:H505" si="149">"Not Available"</f>
        <v>Not Available</v>
      </c>
      <c r="I503" s="5" t="s">
        <v>22</v>
      </c>
      <c r="J503" s="5" t="s">
        <v>3387</v>
      </c>
      <c r="K503" s="5" t="s">
        <v>3393</v>
      </c>
      <c r="L503" s="5" t="s">
        <v>22</v>
      </c>
      <c r="M503" s="5" t="s">
        <v>3576</v>
      </c>
      <c r="N503" s="5" t="s">
        <v>1925</v>
      </c>
      <c r="O503" s="5" t="s">
        <v>25</v>
      </c>
      <c r="P503" s="5" t="s">
        <v>26</v>
      </c>
      <c r="Q503" s="5" t="s">
        <v>27</v>
      </c>
      <c r="R503" s="5">
        <v>2169</v>
      </c>
      <c r="S503" s="5">
        <v>42.315519528877402</v>
      </c>
      <c r="T503" s="5">
        <v>-71.051135540000004</v>
      </c>
    </row>
    <row r="504" spans="1:20" x14ac:dyDescent="0.3">
      <c r="A504" s="5" t="s">
        <v>1926</v>
      </c>
      <c r="B504" s="6">
        <v>8502</v>
      </c>
      <c r="C504" s="6" t="str">
        <f t="shared" ref="C504:C508" si="150">"Active/Unavailable"</f>
        <v>Active/Unavailable</v>
      </c>
      <c r="D504" s="5" t="s">
        <v>29</v>
      </c>
      <c r="E504" s="5" t="s">
        <v>1927</v>
      </c>
      <c r="F504" s="5" t="s">
        <v>1928</v>
      </c>
      <c r="G504" s="5" t="str">
        <f t="shared" ref="G504:G531" si="151">"Not Available"</f>
        <v>Not Available</v>
      </c>
      <c r="H504" s="5" t="str">
        <f t="shared" si="149"/>
        <v>Not Available</v>
      </c>
      <c r="I504" s="5" t="s">
        <v>22</v>
      </c>
      <c r="J504" s="5" t="s">
        <v>3389</v>
      </c>
      <c r="K504" s="5" t="s">
        <v>3393</v>
      </c>
      <c r="L504" s="5" t="s">
        <v>22</v>
      </c>
      <c r="M504" s="5" t="s">
        <v>3442</v>
      </c>
      <c r="N504" s="5" t="s">
        <v>1929</v>
      </c>
      <c r="O504" s="5" t="s">
        <v>373</v>
      </c>
      <c r="P504" s="5" t="s">
        <v>26</v>
      </c>
      <c r="Q504" s="5" t="s">
        <v>57</v>
      </c>
      <c r="R504" s="5">
        <v>2155</v>
      </c>
      <c r="S504" s="5">
        <v>42.414553314268602</v>
      </c>
      <c r="T504" s="5">
        <v>-71.063687549999997</v>
      </c>
    </row>
    <row r="505" spans="1:20" x14ac:dyDescent="0.3">
      <c r="A505" s="5" t="s">
        <v>1930</v>
      </c>
      <c r="B505" s="6">
        <v>33014</v>
      </c>
      <c r="C505" s="6" t="str">
        <f t="shared" si="150"/>
        <v>Active/Unavailable</v>
      </c>
      <c r="D505" s="5" t="s">
        <v>29</v>
      </c>
      <c r="E505" s="5" t="s">
        <v>1931</v>
      </c>
      <c r="F505" s="5" t="s">
        <v>1932</v>
      </c>
      <c r="G505" s="5" t="str">
        <f t="shared" si="151"/>
        <v>Not Available</v>
      </c>
      <c r="H505" s="5" t="str">
        <f t="shared" si="149"/>
        <v>Not Available</v>
      </c>
      <c r="I505" s="5" t="s">
        <v>22</v>
      </c>
      <c r="J505" s="5" t="s">
        <v>3387</v>
      </c>
      <c r="K505" s="5" t="s">
        <v>3393</v>
      </c>
      <c r="L505" s="5" t="s">
        <v>22</v>
      </c>
      <c r="M505" s="5" t="s">
        <v>3492</v>
      </c>
      <c r="N505" s="5" t="s">
        <v>1933</v>
      </c>
      <c r="O505" s="5" t="s">
        <v>33</v>
      </c>
      <c r="P505" s="5" t="s">
        <v>26</v>
      </c>
      <c r="Q505" s="5" t="s">
        <v>34</v>
      </c>
      <c r="R505" s="5">
        <v>2109</v>
      </c>
      <c r="S505" s="5">
        <v>42.294166496082902</v>
      </c>
      <c r="T505" s="5">
        <v>-71.048149780000003</v>
      </c>
    </row>
    <row r="506" spans="1:20" x14ac:dyDescent="0.3">
      <c r="A506" s="5" t="s">
        <v>1934</v>
      </c>
      <c r="B506" s="6">
        <v>22200</v>
      </c>
      <c r="C506" s="6" t="str">
        <f t="shared" si="150"/>
        <v>Active/Unavailable</v>
      </c>
      <c r="D506" s="5" t="s">
        <v>18</v>
      </c>
      <c r="E506" s="5" t="s">
        <v>85</v>
      </c>
      <c r="F506" s="5" t="s">
        <v>687</v>
      </c>
      <c r="G506" s="5" t="str">
        <f t="shared" si="151"/>
        <v>Not Available</v>
      </c>
      <c r="H506" s="5" t="s">
        <v>309</v>
      </c>
      <c r="I506" s="5" t="s">
        <v>22</v>
      </c>
      <c r="J506" s="5" t="s">
        <v>3387</v>
      </c>
      <c r="K506" s="5" t="s">
        <v>3393</v>
      </c>
      <c r="L506" s="5" t="s">
        <v>23</v>
      </c>
      <c r="M506" s="5" t="s">
        <v>3600</v>
      </c>
      <c r="N506" s="5" t="s">
        <v>1935</v>
      </c>
      <c r="O506" s="5" t="s">
        <v>33</v>
      </c>
      <c r="P506" s="5" t="s">
        <v>26</v>
      </c>
      <c r="Q506" s="5" t="s">
        <v>34</v>
      </c>
      <c r="R506" s="5">
        <v>2132</v>
      </c>
      <c r="S506" s="5">
        <v>42.3655750601365</v>
      </c>
      <c r="T506" s="5">
        <v>-71.054468850000006</v>
      </c>
    </row>
    <row r="507" spans="1:20" x14ac:dyDescent="0.3">
      <c r="A507" s="5" t="s">
        <v>1936</v>
      </c>
      <c r="B507" s="6">
        <v>32403</v>
      </c>
      <c r="C507" s="6" t="str">
        <f t="shared" si="150"/>
        <v>Active/Unavailable</v>
      </c>
      <c r="D507" s="5" t="s">
        <v>29</v>
      </c>
      <c r="E507" s="5" t="s">
        <v>1508</v>
      </c>
      <c r="F507" s="5" t="s">
        <v>165</v>
      </c>
      <c r="G507" s="5" t="str">
        <f t="shared" si="151"/>
        <v>Not Available</v>
      </c>
      <c r="H507" s="5" t="str">
        <f t="shared" ref="H507:H509" si="152">"Not Available"</f>
        <v>Not Available</v>
      </c>
      <c r="I507" s="5" t="s">
        <v>65</v>
      </c>
      <c r="J507" s="5" t="s">
        <v>3388</v>
      </c>
      <c r="K507" s="5" t="s">
        <v>3393</v>
      </c>
      <c r="L507" s="5" t="s">
        <v>22</v>
      </c>
      <c r="M507" s="5" t="s">
        <v>3435</v>
      </c>
      <c r="N507" s="5" t="s">
        <v>1937</v>
      </c>
      <c r="O507" s="5" t="s">
        <v>33</v>
      </c>
      <c r="P507" s="5" t="s">
        <v>26</v>
      </c>
      <c r="Q507" s="5" t="s">
        <v>34</v>
      </c>
      <c r="R507" s="5">
        <v>2125</v>
      </c>
      <c r="S507" s="5">
        <v>42.347009392827601</v>
      </c>
      <c r="T507" s="5">
        <v>-71.121060049999997</v>
      </c>
    </row>
    <row r="508" spans="1:20" x14ac:dyDescent="0.3">
      <c r="A508" s="5" t="s">
        <v>1938</v>
      </c>
      <c r="B508" s="6">
        <v>22469</v>
      </c>
      <c r="C508" s="6" t="str">
        <f t="shared" si="150"/>
        <v>Active/Unavailable</v>
      </c>
      <c r="D508" s="5" t="s">
        <v>29</v>
      </c>
      <c r="E508" s="5" t="s">
        <v>1939</v>
      </c>
      <c r="F508" s="5" t="s">
        <v>1684</v>
      </c>
      <c r="G508" s="5" t="str">
        <f t="shared" si="151"/>
        <v>Not Available</v>
      </c>
      <c r="H508" s="5" t="str">
        <f t="shared" si="152"/>
        <v>Not Available</v>
      </c>
      <c r="I508" s="5" t="s">
        <v>22</v>
      </c>
      <c r="J508" s="5" t="s">
        <v>3387</v>
      </c>
      <c r="K508" s="5" t="s">
        <v>3393</v>
      </c>
      <c r="L508" s="5" t="s">
        <v>22</v>
      </c>
      <c r="M508" s="5" t="s">
        <v>3405</v>
      </c>
      <c r="N508" s="5" t="s">
        <v>1940</v>
      </c>
      <c r="O508" s="5" t="s">
        <v>108</v>
      </c>
      <c r="P508" s="5" t="s">
        <v>26</v>
      </c>
      <c r="Q508" s="5" t="s">
        <v>34</v>
      </c>
      <c r="R508" s="5">
        <v>2151</v>
      </c>
      <c r="S508" s="5">
        <v>42.402638052637798</v>
      </c>
      <c r="T508" s="5">
        <v>-70.980831809999998</v>
      </c>
    </row>
    <row r="509" spans="1:20" x14ac:dyDescent="0.3">
      <c r="A509" s="5" t="s">
        <v>1941</v>
      </c>
      <c r="B509" s="6">
        <v>17597</v>
      </c>
      <c r="C509" s="6">
        <v>43224</v>
      </c>
      <c r="D509" s="5" t="s">
        <v>29</v>
      </c>
      <c r="E509" s="5" t="s">
        <v>1942</v>
      </c>
      <c r="F509" s="5" t="s">
        <v>1797</v>
      </c>
      <c r="G509" s="5" t="str">
        <f t="shared" si="151"/>
        <v>Not Available</v>
      </c>
      <c r="H509" s="5" t="str">
        <f t="shared" si="152"/>
        <v>Not Available</v>
      </c>
      <c r="I509" s="5" t="s">
        <v>22</v>
      </c>
      <c r="J509" s="5" t="s">
        <v>3392</v>
      </c>
      <c r="K509" s="5" t="s">
        <v>3394</v>
      </c>
      <c r="L509" s="5" t="s">
        <v>22</v>
      </c>
      <c r="M509" s="5" t="s">
        <v>3620</v>
      </c>
      <c r="N509" s="5" t="s">
        <v>1943</v>
      </c>
      <c r="O509" s="5" t="s">
        <v>33</v>
      </c>
      <c r="P509" s="5" t="s">
        <v>26</v>
      </c>
      <c r="Q509" s="5" t="s">
        <v>34</v>
      </c>
      <c r="R509" s="5">
        <v>2125</v>
      </c>
      <c r="S509" s="5">
        <v>42.378307643290697</v>
      </c>
      <c r="T509" s="5">
        <v>-71.056380169999997</v>
      </c>
    </row>
    <row r="510" spans="1:20" x14ac:dyDescent="0.3">
      <c r="A510" s="5" t="s">
        <v>1944</v>
      </c>
      <c r="B510" s="6">
        <v>25251</v>
      </c>
      <c r="C510" s="6" t="str">
        <f t="shared" ref="C510:C515" si="153">"Active/Unavailable"</f>
        <v>Active/Unavailable</v>
      </c>
      <c r="D510" s="5" t="s">
        <v>18</v>
      </c>
      <c r="E510" s="5" t="s">
        <v>1945</v>
      </c>
      <c r="F510" s="5" t="s">
        <v>1403</v>
      </c>
      <c r="G510" s="5" t="str">
        <f t="shared" si="151"/>
        <v>Not Available</v>
      </c>
      <c r="H510" s="5" t="s">
        <v>1946</v>
      </c>
      <c r="I510" s="5" t="s">
        <v>22</v>
      </c>
      <c r="J510" s="5" t="s">
        <v>3387</v>
      </c>
      <c r="K510" s="5" t="s">
        <v>3393</v>
      </c>
      <c r="L510" s="5" t="s">
        <v>23</v>
      </c>
      <c r="M510" s="5" t="s">
        <v>3414</v>
      </c>
      <c r="N510" s="5" t="s">
        <v>1947</v>
      </c>
      <c r="O510" s="5" t="s">
        <v>316</v>
      </c>
      <c r="P510" s="5" t="s">
        <v>26</v>
      </c>
      <c r="Q510" s="5" t="s">
        <v>317</v>
      </c>
      <c r="R510" s="5">
        <v>2043</v>
      </c>
      <c r="S510" s="5">
        <v>42.242279076897802</v>
      </c>
      <c r="T510" s="5">
        <v>-70.860293069999997</v>
      </c>
    </row>
    <row r="511" spans="1:20" x14ac:dyDescent="0.3">
      <c r="A511" s="5" t="s">
        <v>1948</v>
      </c>
      <c r="B511" s="6">
        <v>9968</v>
      </c>
      <c r="C511" s="6" t="str">
        <f t="shared" si="153"/>
        <v>Active/Unavailable</v>
      </c>
      <c r="D511" s="5" t="s">
        <v>18</v>
      </c>
      <c r="E511" s="5" t="s">
        <v>1466</v>
      </c>
      <c r="F511" s="5" t="s">
        <v>1672</v>
      </c>
      <c r="G511" s="5" t="str">
        <f t="shared" si="151"/>
        <v>Not Available</v>
      </c>
      <c r="H511" s="5" t="s">
        <v>682</v>
      </c>
      <c r="I511" s="5" t="s">
        <v>22</v>
      </c>
      <c r="J511" s="5" t="s">
        <v>3387</v>
      </c>
      <c r="K511" s="5" t="s">
        <v>3393</v>
      </c>
      <c r="L511" s="5" t="s">
        <v>23</v>
      </c>
      <c r="M511" s="5" t="s">
        <v>3621</v>
      </c>
      <c r="N511" s="5" t="s">
        <v>3701</v>
      </c>
      <c r="O511" s="5" t="s">
        <v>33</v>
      </c>
      <c r="P511" s="5" t="s">
        <v>26</v>
      </c>
      <c r="Q511" s="5" t="s">
        <v>34</v>
      </c>
      <c r="R511" s="5">
        <v>2131</v>
      </c>
      <c r="S511" s="5">
        <v>42.2919701652227</v>
      </c>
      <c r="T511" s="5">
        <v>-71.018767150000002</v>
      </c>
    </row>
    <row r="512" spans="1:20" x14ac:dyDescent="0.3">
      <c r="A512" s="5" t="s">
        <v>1949</v>
      </c>
      <c r="B512" s="6">
        <v>29288</v>
      </c>
      <c r="C512" s="6" t="str">
        <f t="shared" si="153"/>
        <v>Active/Unavailable</v>
      </c>
      <c r="D512" s="5" t="s">
        <v>18</v>
      </c>
      <c r="E512" s="5" t="s">
        <v>1950</v>
      </c>
      <c r="F512" s="5" t="s">
        <v>357</v>
      </c>
      <c r="G512" s="5" t="str">
        <f t="shared" si="151"/>
        <v>Not Available</v>
      </c>
      <c r="H512" s="5" t="s">
        <v>1007</v>
      </c>
      <c r="I512" s="5" t="s">
        <v>22</v>
      </c>
      <c r="J512" s="5" t="s">
        <v>3387</v>
      </c>
      <c r="K512" s="5" t="s">
        <v>3393</v>
      </c>
      <c r="L512" s="5" t="s">
        <v>23</v>
      </c>
      <c r="M512" s="5" t="s">
        <v>3622</v>
      </c>
      <c r="N512" s="5" t="s">
        <v>1951</v>
      </c>
      <c r="O512" s="5" t="s">
        <v>33</v>
      </c>
      <c r="P512" s="5" t="s">
        <v>26</v>
      </c>
      <c r="Q512" s="5" t="s">
        <v>34</v>
      </c>
      <c r="R512" s="5">
        <v>2127</v>
      </c>
      <c r="S512" s="5">
        <v>42.355059369157701</v>
      </c>
      <c r="T512" s="5">
        <v>-71.031909529999993</v>
      </c>
    </row>
    <row r="513" spans="1:20" x14ac:dyDescent="0.3">
      <c r="A513" s="5" t="s">
        <v>1952</v>
      </c>
      <c r="B513" s="6">
        <v>17597</v>
      </c>
      <c r="C513" s="6" t="str">
        <f t="shared" si="153"/>
        <v>Active/Unavailable</v>
      </c>
      <c r="D513" s="5" t="s">
        <v>29</v>
      </c>
      <c r="E513" s="5" t="s">
        <v>1953</v>
      </c>
      <c r="F513" s="5" t="s">
        <v>1750</v>
      </c>
      <c r="G513" s="5" t="str">
        <f t="shared" si="151"/>
        <v>Not Available</v>
      </c>
      <c r="H513" s="5" t="str">
        <f t="shared" ref="H513:H515" si="154">"Not Available"</f>
        <v>Not Available</v>
      </c>
      <c r="I513" s="5" t="s">
        <v>22</v>
      </c>
      <c r="J513" s="5" t="s">
        <v>3392</v>
      </c>
      <c r="K513" s="5" t="s">
        <v>3394</v>
      </c>
      <c r="L513" s="5" t="s">
        <v>22</v>
      </c>
      <c r="M513" s="5" t="s">
        <v>3480</v>
      </c>
      <c r="N513" s="5" t="s">
        <v>1954</v>
      </c>
      <c r="O513" s="5" t="s">
        <v>33</v>
      </c>
      <c r="P513" s="5" t="s">
        <v>26</v>
      </c>
      <c r="Q513" s="5" t="s">
        <v>34</v>
      </c>
      <c r="R513" s="5">
        <v>2199</v>
      </c>
      <c r="S513" s="5">
        <v>42.321610079529599</v>
      </c>
      <c r="T513" s="5">
        <v>-71.068638870000001</v>
      </c>
    </row>
    <row r="514" spans="1:20" x14ac:dyDescent="0.3">
      <c r="A514" s="5" t="s">
        <v>1955</v>
      </c>
      <c r="B514" s="6">
        <v>24432</v>
      </c>
      <c r="C514" s="6" t="str">
        <f t="shared" si="153"/>
        <v>Active/Unavailable</v>
      </c>
      <c r="D514" s="5" t="s">
        <v>100</v>
      </c>
      <c r="E514" s="5" t="s">
        <v>3356</v>
      </c>
      <c r="F514" s="5" t="s">
        <v>1856</v>
      </c>
      <c r="G514" s="5" t="str">
        <f t="shared" si="151"/>
        <v>Not Available</v>
      </c>
      <c r="H514" s="5" t="str">
        <f t="shared" si="154"/>
        <v>Not Available</v>
      </c>
      <c r="I514" s="5" t="s">
        <v>65</v>
      </c>
      <c r="J514" s="5" t="s">
        <v>3390</v>
      </c>
      <c r="K514" s="5" t="s">
        <v>3394</v>
      </c>
      <c r="L514" s="5" t="s">
        <v>23</v>
      </c>
      <c r="M514" s="5" t="s">
        <v>3623</v>
      </c>
      <c r="N514" s="5" t="s">
        <v>1956</v>
      </c>
      <c r="O514" s="5" t="s">
        <v>33</v>
      </c>
      <c r="P514" s="5" t="s">
        <v>26</v>
      </c>
      <c r="Q514" s="5" t="s">
        <v>34</v>
      </c>
      <c r="R514" s="5">
        <v>2127</v>
      </c>
      <c r="S514" s="5">
        <v>42.333820331669799</v>
      </c>
      <c r="T514" s="5">
        <v>-71.001981499999999</v>
      </c>
    </row>
    <row r="515" spans="1:20" x14ac:dyDescent="0.3">
      <c r="A515" s="7" t="s">
        <v>1957</v>
      </c>
      <c r="B515" s="6">
        <v>32073</v>
      </c>
      <c r="C515" s="6" t="str">
        <f t="shared" si="153"/>
        <v>Active/Unavailable</v>
      </c>
      <c r="D515" s="5" t="s">
        <v>100</v>
      </c>
      <c r="E515" s="5" t="s">
        <v>1958</v>
      </c>
      <c r="F515" s="5" t="s">
        <v>1959</v>
      </c>
      <c r="G515" s="5" t="str">
        <f t="shared" si="151"/>
        <v>Not Available</v>
      </c>
      <c r="H515" s="5" t="str">
        <f t="shared" si="154"/>
        <v>Not Available</v>
      </c>
      <c r="I515" s="5" t="s">
        <v>65</v>
      </c>
      <c r="J515" s="5" t="s">
        <v>3387</v>
      </c>
      <c r="K515" s="5" t="s">
        <v>3393</v>
      </c>
      <c r="L515" s="5" t="s">
        <v>23</v>
      </c>
      <c r="M515" s="5" t="s">
        <v>3624</v>
      </c>
      <c r="N515" s="5" t="s">
        <v>1960</v>
      </c>
      <c r="O515" s="5" t="s">
        <v>172</v>
      </c>
      <c r="P515" s="5" t="s">
        <v>26</v>
      </c>
      <c r="Q515" s="5" t="s">
        <v>34</v>
      </c>
      <c r="R515" s="5" t="str">
        <f>"0000"</f>
        <v>0000</v>
      </c>
      <c r="S515" s="5">
        <v>42.386795664602502</v>
      </c>
      <c r="T515" s="5">
        <v>-71.012240669999997</v>
      </c>
    </row>
    <row r="516" spans="1:20" x14ac:dyDescent="0.3">
      <c r="A516" s="5" t="s">
        <v>1961</v>
      </c>
      <c r="B516" s="6">
        <v>11999</v>
      </c>
      <c r="C516" s="6">
        <v>42997</v>
      </c>
      <c r="D516" s="5" t="s">
        <v>18</v>
      </c>
      <c r="E516" s="5" t="s">
        <v>1962</v>
      </c>
      <c r="F516" s="5" t="s">
        <v>143</v>
      </c>
      <c r="G516" s="5" t="str">
        <f t="shared" si="151"/>
        <v>Not Available</v>
      </c>
      <c r="H516" s="5" t="s">
        <v>760</v>
      </c>
      <c r="I516" s="5" t="s">
        <v>22</v>
      </c>
      <c r="J516" s="5" t="s">
        <v>3388</v>
      </c>
      <c r="K516" s="5" t="s">
        <v>3393</v>
      </c>
      <c r="L516" s="5" t="s">
        <v>23</v>
      </c>
      <c r="M516" s="5" t="s">
        <v>3609</v>
      </c>
      <c r="N516" s="5" t="s">
        <v>1963</v>
      </c>
      <c r="O516" s="5" t="s">
        <v>33</v>
      </c>
      <c r="P516" s="5" t="s">
        <v>26</v>
      </c>
      <c r="Q516" s="5" t="s">
        <v>34</v>
      </c>
      <c r="R516" s="5">
        <v>2120</v>
      </c>
      <c r="S516" s="5">
        <v>42.350586317576202</v>
      </c>
      <c r="T516" s="5">
        <v>-71.016649299999997</v>
      </c>
    </row>
    <row r="517" spans="1:20" x14ac:dyDescent="0.3">
      <c r="A517" s="5" t="s">
        <v>1964</v>
      </c>
      <c r="B517" s="6">
        <v>11999</v>
      </c>
      <c r="C517" s="6" t="str">
        <f t="shared" ref="C517:C524" si="155">"Active/Unavailable"</f>
        <v>Active/Unavailable</v>
      </c>
      <c r="D517" s="5" t="s">
        <v>100</v>
      </c>
      <c r="E517" s="5" t="s">
        <v>1965</v>
      </c>
      <c r="F517" s="5" t="s">
        <v>1304</v>
      </c>
      <c r="G517" s="5" t="str">
        <f t="shared" si="151"/>
        <v>Not Available</v>
      </c>
      <c r="H517" s="5" t="str">
        <f>"Not Available"</f>
        <v>Not Available</v>
      </c>
      <c r="I517" s="5" t="s">
        <v>65</v>
      </c>
      <c r="J517" s="5" t="s">
        <v>3388</v>
      </c>
      <c r="K517" s="5" t="s">
        <v>3393</v>
      </c>
      <c r="L517" s="5" t="s">
        <v>23</v>
      </c>
      <c r="M517" s="5" t="s">
        <v>3502</v>
      </c>
      <c r="N517" s="5" t="s">
        <v>1966</v>
      </c>
      <c r="O517" s="5" t="s">
        <v>33</v>
      </c>
      <c r="P517" s="5" t="s">
        <v>26</v>
      </c>
      <c r="Q517" s="5" t="s">
        <v>34</v>
      </c>
      <c r="R517" s="5">
        <v>2163</v>
      </c>
      <c r="S517" s="5">
        <v>42.3923670622586</v>
      </c>
      <c r="T517" s="5">
        <v>-71.027914080000002</v>
      </c>
    </row>
    <row r="518" spans="1:20" x14ac:dyDescent="0.3">
      <c r="A518" s="5" t="s">
        <v>1967</v>
      </c>
      <c r="B518" s="6">
        <v>22499</v>
      </c>
      <c r="C518" s="6" t="str">
        <f t="shared" si="155"/>
        <v>Active/Unavailable</v>
      </c>
      <c r="D518" s="5" t="s">
        <v>18</v>
      </c>
      <c r="E518" s="5" t="s">
        <v>1968</v>
      </c>
      <c r="F518" s="5" t="s">
        <v>397</v>
      </c>
      <c r="G518" s="5" t="str">
        <f t="shared" si="151"/>
        <v>Not Available</v>
      </c>
      <c r="H518" s="5" t="s">
        <v>192</v>
      </c>
      <c r="I518" s="5" t="s">
        <v>22</v>
      </c>
      <c r="J518" s="5" t="s">
        <v>3387</v>
      </c>
      <c r="K518" s="5" t="s">
        <v>3394</v>
      </c>
      <c r="L518" s="5" t="s">
        <v>23</v>
      </c>
      <c r="M518" s="5" t="s">
        <v>3445</v>
      </c>
      <c r="N518" s="5" t="s">
        <v>1969</v>
      </c>
      <c r="O518" s="5" t="s">
        <v>33</v>
      </c>
      <c r="P518" s="5" t="s">
        <v>26</v>
      </c>
      <c r="Q518" s="5" t="s">
        <v>34</v>
      </c>
      <c r="R518" s="5" t="str">
        <f>"0000"</f>
        <v>0000</v>
      </c>
      <c r="S518" s="5">
        <v>42.312943225268903</v>
      </c>
      <c r="T518" s="5">
        <v>-71.024361440000007</v>
      </c>
    </row>
    <row r="519" spans="1:20" x14ac:dyDescent="0.3">
      <c r="A519" s="5" t="s">
        <v>1970</v>
      </c>
      <c r="B519" s="6">
        <v>28244</v>
      </c>
      <c r="C519" s="6" t="str">
        <f t="shared" si="155"/>
        <v>Active/Unavailable</v>
      </c>
      <c r="D519" s="5" t="s">
        <v>18</v>
      </c>
      <c r="E519" s="5" t="s">
        <v>1971</v>
      </c>
      <c r="F519" s="5" t="s">
        <v>651</v>
      </c>
      <c r="G519" s="5" t="str">
        <f t="shared" si="151"/>
        <v>Not Available</v>
      </c>
      <c r="H519" s="5" t="s">
        <v>290</v>
      </c>
      <c r="I519" s="5" t="s">
        <v>22</v>
      </c>
      <c r="J519" s="5" t="s">
        <v>3387</v>
      </c>
      <c r="K519" s="5" t="s">
        <v>3393</v>
      </c>
      <c r="L519" s="5" t="s">
        <v>23</v>
      </c>
      <c r="M519" s="5" t="s">
        <v>3435</v>
      </c>
      <c r="N519" s="5" t="s">
        <v>1972</v>
      </c>
      <c r="O519" s="5" t="s">
        <v>33</v>
      </c>
      <c r="P519" s="5" t="s">
        <v>26</v>
      </c>
      <c r="Q519" s="5" t="s">
        <v>34</v>
      </c>
      <c r="R519" s="5">
        <v>2132</v>
      </c>
      <c r="S519" s="5">
        <v>42.386696268439003</v>
      </c>
      <c r="T519" s="5">
        <v>-71.087384970000002</v>
      </c>
    </row>
    <row r="520" spans="1:20" x14ac:dyDescent="0.3">
      <c r="A520" s="5" t="s">
        <v>1973</v>
      </c>
      <c r="B520" s="6">
        <v>26827</v>
      </c>
      <c r="C520" s="6" t="str">
        <f t="shared" si="155"/>
        <v>Active/Unavailable</v>
      </c>
      <c r="D520" s="5" t="s">
        <v>18</v>
      </c>
      <c r="E520" s="5" t="s">
        <v>1974</v>
      </c>
      <c r="F520" s="5" t="s">
        <v>1975</v>
      </c>
      <c r="G520" s="5" t="str">
        <f t="shared" si="151"/>
        <v>Not Available</v>
      </c>
      <c r="H520" s="5" t="s">
        <v>557</v>
      </c>
      <c r="I520" s="5" t="s">
        <v>22</v>
      </c>
      <c r="J520" s="5" t="s">
        <v>3389</v>
      </c>
      <c r="K520" s="5" t="s">
        <v>3393</v>
      </c>
      <c r="L520" s="5" t="s">
        <v>23</v>
      </c>
      <c r="M520" s="5" t="s">
        <v>3625</v>
      </c>
      <c r="N520" s="5" t="s">
        <v>1976</v>
      </c>
      <c r="O520" s="5" t="s">
        <v>33</v>
      </c>
      <c r="P520" s="5" t="s">
        <v>26</v>
      </c>
      <c r="Q520" s="5" t="s">
        <v>34</v>
      </c>
      <c r="R520" s="5">
        <v>2132</v>
      </c>
      <c r="S520" s="5">
        <v>42.374000270000003</v>
      </c>
      <c r="T520" s="5">
        <v>-71.028490340000005</v>
      </c>
    </row>
    <row r="521" spans="1:20" x14ac:dyDescent="0.3">
      <c r="A521" s="5" t="s">
        <v>1977</v>
      </c>
      <c r="B521" s="6">
        <v>21869</v>
      </c>
      <c r="C521" s="6" t="str">
        <f t="shared" si="155"/>
        <v>Active/Unavailable</v>
      </c>
      <c r="D521" s="5" t="s">
        <v>18</v>
      </c>
      <c r="E521" s="5" t="s">
        <v>1978</v>
      </c>
      <c r="F521" s="5" t="s">
        <v>383</v>
      </c>
      <c r="G521" s="5" t="str">
        <f t="shared" si="151"/>
        <v>Not Available</v>
      </c>
      <c r="H521" s="5" t="s">
        <v>852</v>
      </c>
      <c r="I521" s="5" t="s">
        <v>22</v>
      </c>
      <c r="J521" s="5" t="s">
        <v>3388</v>
      </c>
      <c r="K521" s="5" t="s">
        <v>3393</v>
      </c>
      <c r="L521" s="5" t="s">
        <v>23</v>
      </c>
      <c r="M521" s="5" t="s">
        <v>3445</v>
      </c>
      <c r="N521" s="5" t="s">
        <v>1979</v>
      </c>
      <c r="O521" s="5" t="s">
        <v>25</v>
      </c>
      <c r="P521" s="5" t="s">
        <v>26</v>
      </c>
      <c r="Q521" s="5" t="s">
        <v>27</v>
      </c>
      <c r="R521" s="5">
        <v>2170</v>
      </c>
      <c r="S521" s="5">
        <v>42.244751166501501</v>
      </c>
      <c r="T521" s="5">
        <v>-70.960202140000007</v>
      </c>
    </row>
    <row r="522" spans="1:20" x14ac:dyDescent="0.3">
      <c r="A522" s="5" t="s">
        <v>1980</v>
      </c>
      <c r="B522" s="6">
        <v>10649</v>
      </c>
      <c r="C522" s="6" t="str">
        <f t="shared" si="155"/>
        <v>Active/Unavailable</v>
      </c>
      <c r="D522" s="5" t="s">
        <v>29</v>
      </c>
      <c r="E522" s="5" t="s">
        <v>1042</v>
      </c>
      <c r="F522" s="5" t="s">
        <v>212</v>
      </c>
      <c r="G522" s="5" t="str">
        <f t="shared" si="151"/>
        <v>Not Available</v>
      </c>
      <c r="H522" s="5" t="str">
        <f>"Not Available"</f>
        <v>Not Available</v>
      </c>
      <c r="I522" s="5" t="s">
        <v>22</v>
      </c>
      <c r="J522" s="5" t="s">
        <v>3387</v>
      </c>
      <c r="K522" s="5" t="s">
        <v>3393</v>
      </c>
      <c r="L522" s="5" t="s">
        <v>22</v>
      </c>
      <c r="M522" s="5" t="s">
        <v>3510</v>
      </c>
      <c r="N522" s="5" t="s">
        <v>1981</v>
      </c>
      <c r="O522" s="5" t="s">
        <v>25</v>
      </c>
      <c r="P522" s="5" t="s">
        <v>26</v>
      </c>
      <c r="Q522" s="5" t="s">
        <v>27</v>
      </c>
      <c r="R522" s="5">
        <v>2171</v>
      </c>
      <c r="S522" s="5">
        <v>42.3362812316578</v>
      </c>
      <c r="T522" s="5">
        <v>-70.999276019999996</v>
      </c>
    </row>
    <row r="523" spans="1:20" x14ac:dyDescent="0.3">
      <c r="A523" s="5" t="s">
        <v>1982</v>
      </c>
      <c r="B523" s="6">
        <v>23543</v>
      </c>
      <c r="C523" s="6" t="str">
        <f t="shared" si="155"/>
        <v>Active/Unavailable</v>
      </c>
      <c r="D523" s="5" t="s">
        <v>18</v>
      </c>
      <c r="E523" s="5" t="s">
        <v>1983</v>
      </c>
      <c r="F523" s="5" t="s">
        <v>1008</v>
      </c>
      <c r="G523" s="5" t="str">
        <f t="shared" si="151"/>
        <v>Not Available</v>
      </c>
      <c r="H523" s="5" t="s">
        <v>1399</v>
      </c>
      <c r="I523" s="5" t="s">
        <v>22</v>
      </c>
      <c r="J523" s="5" t="s">
        <v>3389</v>
      </c>
      <c r="K523" s="5" t="s">
        <v>3393</v>
      </c>
      <c r="L523" s="5" t="s">
        <v>23</v>
      </c>
      <c r="M523" s="5" t="s">
        <v>3397</v>
      </c>
      <c r="N523" s="5" t="s">
        <v>1984</v>
      </c>
      <c r="O523" s="5" t="s">
        <v>33</v>
      </c>
      <c r="P523" s="5" t="s">
        <v>26</v>
      </c>
      <c r="Q523" s="5" t="s">
        <v>34</v>
      </c>
      <c r="R523" s="5">
        <v>2115</v>
      </c>
      <c r="S523" s="5">
        <v>42.324458507096999</v>
      </c>
      <c r="T523" s="5">
        <v>-71.034219590000006</v>
      </c>
    </row>
    <row r="524" spans="1:20" x14ac:dyDescent="0.3">
      <c r="A524" s="5" t="s">
        <v>1985</v>
      </c>
      <c r="B524" s="6">
        <v>22694</v>
      </c>
      <c r="C524" s="6" t="str">
        <f t="shared" si="155"/>
        <v>Active/Unavailable</v>
      </c>
      <c r="D524" s="5" t="s">
        <v>29</v>
      </c>
      <c r="E524" s="5" t="s">
        <v>1986</v>
      </c>
      <c r="F524" s="5" t="s">
        <v>568</v>
      </c>
      <c r="G524" s="5" t="str">
        <f t="shared" si="151"/>
        <v>Not Available</v>
      </c>
      <c r="H524" s="5" t="str">
        <f t="shared" ref="H524:H528" si="156">"Not Available"</f>
        <v>Not Available</v>
      </c>
      <c r="I524" s="5" t="s">
        <v>22</v>
      </c>
      <c r="J524" s="5" t="s">
        <v>3388</v>
      </c>
      <c r="K524" s="5" t="s">
        <v>3393</v>
      </c>
      <c r="L524" s="5" t="s">
        <v>22</v>
      </c>
      <c r="M524" s="5" t="s">
        <v>3401</v>
      </c>
      <c r="N524" s="5" t="s">
        <v>1987</v>
      </c>
      <c r="O524" s="5" t="s">
        <v>108</v>
      </c>
      <c r="P524" s="5" t="s">
        <v>26</v>
      </c>
      <c r="Q524" s="5" t="s">
        <v>34</v>
      </c>
      <c r="R524" s="5">
        <v>2151</v>
      </c>
      <c r="S524" s="5">
        <v>42.372843130355498</v>
      </c>
      <c r="T524" s="5">
        <v>-70.996942709999999</v>
      </c>
    </row>
    <row r="525" spans="1:20" x14ac:dyDescent="0.3">
      <c r="A525" s="5" t="s">
        <v>1988</v>
      </c>
      <c r="B525" s="6">
        <v>19085</v>
      </c>
      <c r="C525" s="6">
        <v>40934</v>
      </c>
      <c r="D525" s="5" t="s">
        <v>29</v>
      </c>
      <c r="E525" s="5" t="s">
        <v>1989</v>
      </c>
      <c r="F525" s="5" t="s">
        <v>1448</v>
      </c>
      <c r="G525" s="5" t="str">
        <f t="shared" si="151"/>
        <v>Not Available</v>
      </c>
      <c r="H525" s="5" t="str">
        <f t="shared" si="156"/>
        <v>Not Available</v>
      </c>
      <c r="I525" s="5" t="s">
        <v>22</v>
      </c>
      <c r="J525" s="5" t="s">
        <v>3389</v>
      </c>
      <c r="K525" s="5" t="s">
        <v>3393</v>
      </c>
      <c r="L525" s="5" t="s">
        <v>22</v>
      </c>
      <c r="M525" s="5" t="s">
        <v>3538</v>
      </c>
      <c r="N525" s="5" t="s">
        <v>1990</v>
      </c>
      <c r="O525" s="5" t="s">
        <v>33</v>
      </c>
      <c r="P525" s="5" t="s">
        <v>26</v>
      </c>
      <c r="Q525" s="5" t="s">
        <v>34</v>
      </c>
      <c r="R525" s="5">
        <v>2113</v>
      </c>
      <c r="S525" s="5">
        <v>42.374825409627299</v>
      </c>
      <c r="T525" s="5">
        <v>-71.044892180000005</v>
      </c>
    </row>
    <row r="526" spans="1:20" x14ac:dyDescent="0.3">
      <c r="A526" s="5" t="s">
        <v>1991</v>
      </c>
      <c r="B526" s="6">
        <v>19085</v>
      </c>
      <c r="C526" s="6" t="str">
        <f t="shared" ref="C526:C530" si="157">"Active/Unavailable"</f>
        <v>Active/Unavailable</v>
      </c>
      <c r="D526" s="5" t="s">
        <v>29</v>
      </c>
      <c r="E526" s="5" t="s">
        <v>1992</v>
      </c>
      <c r="F526" s="5" t="s">
        <v>1470</v>
      </c>
      <c r="G526" s="5" t="str">
        <f t="shared" si="151"/>
        <v>Not Available</v>
      </c>
      <c r="H526" s="5" t="str">
        <f t="shared" si="156"/>
        <v>Not Available</v>
      </c>
      <c r="I526" s="5" t="s">
        <v>22</v>
      </c>
      <c r="J526" s="5" t="s">
        <v>3389</v>
      </c>
      <c r="K526" s="5" t="s">
        <v>3393</v>
      </c>
      <c r="L526" s="5" t="s">
        <v>22</v>
      </c>
      <c r="M526" s="5" t="s">
        <v>3594</v>
      </c>
      <c r="N526" s="5" t="s">
        <v>1993</v>
      </c>
      <c r="O526" s="5" t="s">
        <v>33</v>
      </c>
      <c r="P526" s="5" t="s">
        <v>26</v>
      </c>
      <c r="Q526" s="5" t="s">
        <v>34</v>
      </c>
      <c r="R526" s="5">
        <v>2126</v>
      </c>
      <c r="S526" s="5">
        <v>42.338267690621102</v>
      </c>
      <c r="T526" s="5">
        <v>-71.092041839999993</v>
      </c>
    </row>
    <row r="527" spans="1:20" x14ac:dyDescent="0.3">
      <c r="A527" s="5" t="s">
        <v>1994</v>
      </c>
      <c r="B527" s="6">
        <v>9202</v>
      </c>
      <c r="C527" s="6" t="str">
        <f t="shared" si="157"/>
        <v>Active/Unavailable</v>
      </c>
      <c r="D527" s="5" t="s">
        <v>29</v>
      </c>
      <c r="E527" s="5" t="s">
        <v>1995</v>
      </c>
      <c r="F527" s="5" t="s">
        <v>993</v>
      </c>
      <c r="G527" s="5" t="str">
        <f t="shared" si="151"/>
        <v>Not Available</v>
      </c>
      <c r="H527" s="5" t="str">
        <f t="shared" si="156"/>
        <v>Not Available</v>
      </c>
      <c r="I527" s="5" t="s">
        <v>22</v>
      </c>
      <c r="J527" s="5" t="s">
        <v>3387</v>
      </c>
      <c r="K527" s="5" t="s">
        <v>3394</v>
      </c>
      <c r="L527" s="5" t="s">
        <v>22</v>
      </c>
      <c r="M527" s="5" t="s">
        <v>3502</v>
      </c>
      <c r="N527" s="5" t="s">
        <v>1996</v>
      </c>
      <c r="O527" s="5" t="s">
        <v>33</v>
      </c>
      <c r="P527" s="5" t="s">
        <v>26</v>
      </c>
      <c r="Q527" s="5" t="s">
        <v>34</v>
      </c>
      <c r="R527" s="5">
        <v>2130</v>
      </c>
      <c r="S527" s="5">
        <v>42.336431746724003</v>
      </c>
      <c r="T527" s="5">
        <v>-71.004494539999996</v>
      </c>
    </row>
    <row r="528" spans="1:20" x14ac:dyDescent="0.3">
      <c r="A528" s="5" t="s">
        <v>1997</v>
      </c>
      <c r="B528" s="6">
        <v>24555</v>
      </c>
      <c r="C528" s="6" t="str">
        <f t="shared" si="157"/>
        <v>Active/Unavailable</v>
      </c>
      <c r="D528" s="5" t="s">
        <v>29</v>
      </c>
      <c r="E528" s="5" t="s">
        <v>1998</v>
      </c>
      <c r="F528" s="5" t="s">
        <v>1715</v>
      </c>
      <c r="G528" s="5" t="str">
        <f t="shared" si="151"/>
        <v>Not Available</v>
      </c>
      <c r="H528" s="5" t="str">
        <f t="shared" si="156"/>
        <v>Not Available</v>
      </c>
      <c r="I528" s="5" t="s">
        <v>22</v>
      </c>
      <c r="J528" s="5" t="s">
        <v>3388</v>
      </c>
      <c r="K528" s="5" t="s">
        <v>3393</v>
      </c>
      <c r="L528" s="5" t="s">
        <v>22</v>
      </c>
      <c r="M528" s="5" t="s">
        <v>3401</v>
      </c>
      <c r="N528" s="5" t="s">
        <v>1999</v>
      </c>
      <c r="O528" s="5" t="s">
        <v>108</v>
      </c>
      <c r="P528" s="5" t="s">
        <v>26</v>
      </c>
      <c r="Q528" s="5" t="s">
        <v>34</v>
      </c>
      <c r="R528" s="5" t="str">
        <f>"0000"</f>
        <v>0000</v>
      </c>
      <c r="S528" s="5">
        <v>42.400171004756501</v>
      </c>
      <c r="T528" s="5">
        <v>-71.007696719999998</v>
      </c>
    </row>
    <row r="529" spans="1:20" x14ac:dyDescent="0.3">
      <c r="A529" s="5" t="s">
        <v>2000</v>
      </c>
      <c r="B529" s="6">
        <v>13874</v>
      </c>
      <c r="C529" s="6" t="str">
        <f t="shared" si="157"/>
        <v>Active/Unavailable</v>
      </c>
      <c r="D529" s="5" t="s">
        <v>18</v>
      </c>
      <c r="E529" s="5" t="s">
        <v>2001</v>
      </c>
      <c r="F529" s="5" t="s">
        <v>2002</v>
      </c>
      <c r="G529" s="5" t="str">
        <f t="shared" si="151"/>
        <v>Not Available</v>
      </c>
      <c r="H529" s="5" t="s">
        <v>1312</v>
      </c>
      <c r="I529" s="5" t="s">
        <v>22</v>
      </c>
      <c r="J529" s="5" t="s">
        <v>3387</v>
      </c>
      <c r="K529" s="5" t="s">
        <v>3393</v>
      </c>
      <c r="L529" s="5" t="s">
        <v>23</v>
      </c>
      <c r="M529" s="5" t="s">
        <v>3532</v>
      </c>
      <c r="N529" s="5" t="s">
        <v>2003</v>
      </c>
      <c r="O529" s="5" t="s">
        <v>845</v>
      </c>
      <c r="P529" s="5" t="s">
        <v>26</v>
      </c>
      <c r="Q529" s="5" t="s">
        <v>57</v>
      </c>
      <c r="R529" s="5">
        <v>2155</v>
      </c>
      <c r="S529" s="5">
        <v>42.375390275339001</v>
      </c>
      <c r="T529" s="5">
        <v>-71.068210870000001</v>
      </c>
    </row>
    <row r="530" spans="1:20" x14ac:dyDescent="0.3">
      <c r="A530" s="5" t="s">
        <v>2004</v>
      </c>
      <c r="B530" s="6">
        <v>32421</v>
      </c>
      <c r="C530" s="6" t="str">
        <f t="shared" si="157"/>
        <v>Active/Unavailable</v>
      </c>
      <c r="D530" s="5" t="s">
        <v>29</v>
      </c>
      <c r="E530" s="5" t="s">
        <v>2005</v>
      </c>
      <c r="F530" s="5" t="s">
        <v>905</v>
      </c>
      <c r="G530" s="5" t="str">
        <f t="shared" si="151"/>
        <v>Not Available</v>
      </c>
      <c r="H530" s="5" t="str">
        <f>"Not Available"</f>
        <v>Not Available</v>
      </c>
      <c r="I530" s="5" t="s">
        <v>22</v>
      </c>
      <c r="J530" s="5" t="s">
        <v>3387</v>
      </c>
      <c r="K530" s="5" t="s">
        <v>3393</v>
      </c>
      <c r="L530" s="5" t="s">
        <v>22</v>
      </c>
      <c r="M530" s="5" t="s">
        <v>3396</v>
      </c>
      <c r="N530" s="5" t="s">
        <v>3702</v>
      </c>
      <c r="O530" s="5" t="s">
        <v>33</v>
      </c>
      <c r="P530" s="5" t="s">
        <v>26</v>
      </c>
      <c r="Q530" s="5" t="s">
        <v>34</v>
      </c>
      <c r="R530" s="5">
        <v>2126</v>
      </c>
      <c r="S530" s="5">
        <v>42.323613744673501</v>
      </c>
      <c r="T530" s="5">
        <v>-71.055788039999996</v>
      </c>
    </row>
    <row r="531" spans="1:20" x14ac:dyDescent="0.3">
      <c r="A531" s="5" t="s">
        <v>2006</v>
      </c>
      <c r="B531" s="6">
        <v>8472</v>
      </c>
      <c r="C531" s="6">
        <v>43221</v>
      </c>
      <c r="D531" s="5" t="s">
        <v>18</v>
      </c>
      <c r="E531" s="5" t="s">
        <v>2007</v>
      </c>
      <c r="F531" s="5" t="s">
        <v>1351</v>
      </c>
      <c r="G531" s="5" t="str">
        <f t="shared" si="151"/>
        <v>Not Available</v>
      </c>
      <c r="H531" s="5" t="s">
        <v>437</v>
      </c>
      <c r="I531" s="5" t="s">
        <v>22</v>
      </c>
      <c r="J531" s="5" t="s">
        <v>3388</v>
      </c>
      <c r="K531" s="5" t="s">
        <v>3393</v>
      </c>
      <c r="L531" s="5" t="s">
        <v>23</v>
      </c>
      <c r="M531" s="5" t="s">
        <v>3527</v>
      </c>
      <c r="N531" s="5" t="s">
        <v>2008</v>
      </c>
      <c r="O531" s="5" t="s">
        <v>33</v>
      </c>
      <c r="P531" s="5" t="s">
        <v>26</v>
      </c>
      <c r="Q531" s="5" t="s">
        <v>34</v>
      </c>
      <c r="R531" s="5">
        <v>2114</v>
      </c>
      <c r="S531" s="5">
        <v>42.310415289470598</v>
      </c>
      <c r="T531" s="5">
        <v>-71.029386459999998</v>
      </c>
    </row>
    <row r="532" spans="1:20" x14ac:dyDescent="0.3">
      <c r="A532" s="5" t="s">
        <v>2009</v>
      </c>
      <c r="B532" s="6">
        <v>24400</v>
      </c>
      <c r="C532" s="6" t="str">
        <f t="shared" ref="C532:C535" si="158">"Active/Unavailable"</f>
        <v>Active/Unavailable</v>
      </c>
      <c r="D532" s="5" t="s">
        <v>29</v>
      </c>
      <c r="E532" s="5" t="s">
        <v>2010</v>
      </c>
      <c r="F532" s="5" t="s">
        <v>1470</v>
      </c>
      <c r="G532" s="5" t="s">
        <v>398</v>
      </c>
      <c r="H532" s="5" t="str">
        <f>"Not Available"</f>
        <v>Not Available</v>
      </c>
      <c r="I532" s="5" t="s">
        <v>22</v>
      </c>
      <c r="J532" s="5" t="s">
        <v>3387</v>
      </c>
      <c r="K532" s="5" t="s">
        <v>3393</v>
      </c>
      <c r="L532" s="5" t="s">
        <v>22</v>
      </c>
      <c r="M532" s="5" t="s">
        <v>3497</v>
      </c>
      <c r="N532" s="5" t="s">
        <v>2011</v>
      </c>
      <c r="O532" s="5" t="s">
        <v>25</v>
      </c>
      <c r="P532" s="5" t="s">
        <v>26</v>
      </c>
      <c r="Q532" s="5" t="s">
        <v>27</v>
      </c>
      <c r="R532" s="5">
        <v>2186</v>
      </c>
      <c r="S532" s="5">
        <v>42.310900402671102</v>
      </c>
      <c r="T532" s="5">
        <v>-70.987294719999994</v>
      </c>
    </row>
    <row r="533" spans="1:20" x14ac:dyDescent="0.3">
      <c r="A533" s="5" t="s">
        <v>2012</v>
      </c>
      <c r="B533" s="6">
        <v>24259</v>
      </c>
      <c r="C533" s="6" t="str">
        <f t="shared" si="158"/>
        <v>Active/Unavailable</v>
      </c>
      <c r="D533" s="5" t="s">
        <v>18</v>
      </c>
      <c r="E533" s="5" t="s">
        <v>2013</v>
      </c>
      <c r="F533" s="5" t="s">
        <v>3371</v>
      </c>
      <c r="G533" s="5" t="str">
        <f t="shared" ref="G533:G564" si="159">"Not Available"</f>
        <v>Not Available</v>
      </c>
      <c r="H533" s="5" t="s">
        <v>2014</v>
      </c>
      <c r="I533" s="5" t="s">
        <v>22</v>
      </c>
      <c r="J533" s="5" t="s">
        <v>3387</v>
      </c>
      <c r="K533" s="5" t="s">
        <v>3394</v>
      </c>
      <c r="L533" s="5" t="s">
        <v>23</v>
      </c>
      <c r="M533" s="5" t="s">
        <v>3439</v>
      </c>
      <c r="N533" s="5" t="s">
        <v>2015</v>
      </c>
      <c r="O533" s="5" t="s">
        <v>25</v>
      </c>
      <c r="P533" s="5" t="s">
        <v>26</v>
      </c>
      <c r="Q533" s="5" t="s">
        <v>27</v>
      </c>
      <c r="R533" s="5">
        <v>2169</v>
      </c>
      <c r="S533" s="5">
        <v>42.2562831756359</v>
      </c>
      <c r="T533" s="5">
        <v>-71.003375770000005</v>
      </c>
    </row>
    <row r="534" spans="1:20" x14ac:dyDescent="0.3">
      <c r="A534" s="5" t="s">
        <v>2016</v>
      </c>
      <c r="B534" s="6">
        <v>20189</v>
      </c>
      <c r="C534" s="6" t="str">
        <f t="shared" si="158"/>
        <v>Active/Unavailable</v>
      </c>
      <c r="D534" s="5" t="s">
        <v>18</v>
      </c>
      <c r="E534" s="5" t="s">
        <v>2017</v>
      </c>
      <c r="F534" s="5" t="s">
        <v>1829</v>
      </c>
      <c r="G534" s="5" t="str">
        <f t="shared" si="159"/>
        <v>Not Available</v>
      </c>
      <c r="H534" s="5" t="s">
        <v>523</v>
      </c>
      <c r="I534" s="5" t="s">
        <v>22</v>
      </c>
      <c r="J534" s="5" t="s">
        <v>3387</v>
      </c>
      <c r="K534" s="5" t="s">
        <v>3393</v>
      </c>
      <c r="L534" s="5" t="s">
        <v>23</v>
      </c>
      <c r="M534" s="5" t="s">
        <v>3540</v>
      </c>
      <c r="N534" s="5" t="s">
        <v>2018</v>
      </c>
      <c r="O534" s="5" t="s">
        <v>88</v>
      </c>
      <c r="P534" s="5" t="s">
        <v>26</v>
      </c>
      <c r="Q534" s="5" t="s">
        <v>57</v>
      </c>
      <c r="R534" s="5">
        <v>2145</v>
      </c>
      <c r="S534" s="5">
        <v>42.417969799340099</v>
      </c>
      <c r="T534" s="5">
        <v>-71.110023159999997</v>
      </c>
    </row>
    <row r="535" spans="1:20" x14ac:dyDescent="0.3">
      <c r="A535" s="5" t="s">
        <v>2019</v>
      </c>
      <c r="B535" s="6">
        <v>23559</v>
      </c>
      <c r="C535" s="6" t="str">
        <f t="shared" si="158"/>
        <v>Active/Unavailable</v>
      </c>
      <c r="D535" s="5" t="s">
        <v>29</v>
      </c>
      <c r="E535" s="5" t="s">
        <v>2020</v>
      </c>
      <c r="F535" s="5" t="s">
        <v>2021</v>
      </c>
      <c r="G535" s="5" t="str">
        <f t="shared" si="159"/>
        <v>Not Available</v>
      </c>
      <c r="H535" s="5" t="str">
        <f>"Not Available"</f>
        <v>Not Available</v>
      </c>
      <c r="I535" s="5" t="s">
        <v>22</v>
      </c>
      <c r="J535" s="5" t="s">
        <v>3387</v>
      </c>
      <c r="K535" s="5" t="s">
        <v>3393</v>
      </c>
      <c r="L535" s="5" t="s">
        <v>22</v>
      </c>
      <c r="M535" s="5" t="s">
        <v>3538</v>
      </c>
      <c r="N535" s="5" t="s">
        <v>2022</v>
      </c>
      <c r="O535" s="5" t="s">
        <v>145</v>
      </c>
      <c r="P535" s="5" t="s">
        <v>26</v>
      </c>
      <c r="Q535" s="5" t="s">
        <v>57</v>
      </c>
      <c r="R535" s="5">
        <v>2148</v>
      </c>
      <c r="S535" s="5">
        <v>42.367084311611897</v>
      </c>
      <c r="T535" s="5">
        <v>-71.06225044</v>
      </c>
    </row>
    <row r="536" spans="1:20" x14ac:dyDescent="0.3">
      <c r="A536" s="5" t="s">
        <v>2023</v>
      </c>
      <c r="B536" s="6">
        <v>9716</v>
      </c>
      <c r="C536" s="6">
        <v>43606</v>
      </c>
      <c r="D536" s="5" t="s">
        <v>18</v>
      </c>
      <c r="E536" s="5" t="s">
        <v>2024</v>
      </c>
      <c r="F536" s="5" t="s">
        <v>202</v>
      </c>
      <c r="G536" s="5" t="str">
        <f t="shared" si="159"/>
        <v>Not Available</v>
      </c>
      <c r="H536" s="5" t="s">
        <v>1715</v>
      </c>
      <c r="I536" s="5" t="s">
        <v>22</v>
      </c>
      <c r="J536" s="5" t="s">
        <v>3390</v>
      </c>
      <c r="K536" s="5" t="s">
        <v>3393</v>
      </c>
      <c r="L536" s="5" t="s">
        <v>23</v>
      </c>
      <c r="M536" s="5" t="s">
        <v>3626</v>
      </c>
      <c r="N536" s="5" t="s">
        <v>2025</v>
      </c>
      <c r="O536" s="5" t="s">
        <v>486</v>
      </c>
      <c r="P536" s="5" t="s">
        <v>26</v>
      </c>
      <c r="Q536" s="5" t="s">
        <v>34</v>
      </c>
      <c r="R536" s="5">
        <v>2128</v>
      </c>
      <c r="S536" s="5">
        <v>42.352062148259499</v>
      </c>
      <c r="T536" s="5">
        <v>-71.002708729999995</v>
      </c>
    </row>
    <row r="537" spans="1:20" x14ac:dyDescent="0.3">
      <c r="A537" s="5" t="s">
        <v>2026</v>
      </c>
      <c r="B537" s="6">
        <v>21683</v>
      </c>
      <c r="C537" s="6" t="str">
        <f>"Active/Unavailable"</f>
        <v>Active/Unavailable</v>
      </c>
      <c r="D537" s="5" t="s">
        <v>100</v>
      </c>
      <c r="E537" s="5" t="s">
        <v>2027</v>
      </c>
      <c r="F537" s="5" t="s">
        <v>1008</v>
      </c>
      <c r="G537" s="5" t="str">
        <f t="shared" si="159"/>
        <v>Not Available</v>
      </c>
      <c r="H537" s="5" t="str">
        <f>"Not Available"</f>
        <v>Not Available</v>
      </c>
      <c r="I537" s="5" t="s">
        <v>65</v>
      </c>
      <c r="J537" s="5" t="s">
        <v>3387</v>
      </c>
      <c r="K537" s="5" t="s">
        <v>3393</v>
      </c>
      <c r="L537" s="5" t="s">
        <v>23</v>
      </c>
      <c r="M537" s="5" t="s">
        <v>3447</v>
      </c>
      <c r="N537" s="5" t="s">
        <v>2028</v>
      </c>
      <c r="O537" s="5" t="s">
        <v>25</v>
      </c>
      <c r="P537" s="5" t="s">
        <v>26</v>
      </c>
      <c r="Q537" s="5" t="s">
        <v>27</v>
      </c>
      <c r="R537" s="5">
        <v>2170</v>
      </c>
      <c r="S537" s="5">
        <v>42.277118863628502</v>
      </c>
      <c r="T537" s="5">
        <v>-70.979318610000007</v>
      </c>
    </row>
    <row r="538" spans="1:20" x14ac:dyDescent="0.3">
      <c r="A538" s="5" t="s">
        <v>2029</v>
      </c>
      <c r="B538" s="6">
        <v>9716</v>
      </c>
      <c r="C538" s="6">
        <v>43799</v>
      </c>
      <c r="D538" s="5" t="s">
        <v>18</v>
      </c>
      <c r="E538" s="5" t="s">
        <v>2030</v>
      </c>
      <c r="F538" s="5" t="s">
        <v>2031</v>
      </c>
      <c r="G538" s="5" t="str">
        <f t="shared" si="159"/>
        <v>Not Available</v>
      </c>
      <c r="H538" s="5" t="s">
        <v>528</v>
      </c>
      <c r="I538" s="5" t="s">
        <v>22</v>
      </c>
      <c r="J538" s="5" t="s">
        <v>3390</v>
      </c>
      <c r="K538" s="5" t="s">
        <v>3393</v>
      </c>
      <c r="L538" s="5" t="s">
        <v>23</v>
      </c>
      <c r="M538" s="5" t="s">
        <v>3438</v>
      </c>
      <c r="N538" s="5" t="s">
        <v>2032</v>
      </c>
      <c r="O538" s="5" t="s">
        <v>486</v>
      </c>
      <c r="P538" s="5" t="s">
        <v>26</v>
      </c>
      <c r="Q538" s="5" t="s">
        <v>34</v>
      </c>
      <c r="R538" s="5">
        <v>2152</v>
      </c>
      <c r="S538" s="5">
        <v>42.324019166448601</v>
      </c>
      <c r="T538" s="5">
        <v>-71.005684360000004</v>
      </c>
    </row>
    <row r="539" spans="1:20" x14ac:dyDescent="0.3">
      <c r="A539" s="5" t="s">
        <v>2033</v>
      </c>
      <c r="B539" s="6">
        <v>9716</v>
      </c>
      <c r="C539" s="6">
        <v>43546</v>
      </c>
      <c r="D539" s="5" t="s">
        <v>18</v>
      </c>
      <c r="E539" s="5" t="s">
        <v>2034</v>
      </c>
      <c r="F539" s="5" t="s">
        <v>930</v>
      </c>
      <c r="G539" s="5" t="str">
        <f t="shared" si="159"/>
        <v>Not Available</v>
      </c>
      <c r="H539" s="5" t="s">
        <v>60</v>
      </c>
      <c r="I539" s="5" t="s">
        <v>22</v>
      </c>
      <c r="J539" s="5" t="s">
        <v>3390</v>
      </c>
      <c r="K539" s="5" t="s">
        <v>3393</v>
      </c>
      <c r="L539" s="5" t="s">
        <v>23</v>
      </c>
      <c r="M539" s="5" t="s">
        <v>3400</v>
      </c>
      <c r="N539" s="5" t="s">
        <v>2035</v>
      </c>
      <c r="O539" s="5" t="s">
        <v>486</v>
      </c>
      <c r="P539" s="5" t="s">
        <v>26</v>
      </c>
      <c r="Q539" s="5" t="s">
        <v>34</v>
      </c>
      <c r="R539" s="5">
        <v>2128</v>
      </c>
      <c r="S539" s="5">
        <v>42.4001063642677</v>
      </c>
      <c r="T539" s="5">
        <v>-70.953130079999994</v>
      </c>
    </row>
    <row r="540" spans="1:20" x14ac:dyDescent="0.3">
      <c r="A540" s="5" t="s">
        <v>2036</v>
      </c>
      <c r="B540" s="6">
        <v>25396</v>
      </c>
      <c r="C540" s="6" t="str">
        <f t="shared" ref="C540:C561" si="160">"Active/Unavailable"</f>
        <v>Active/Unavailable</v>
      </c>
      <c r="D540" s="5" t="s">
        <v>29</v>
      </c>
      <c r="E540" s="5" t="s">
        <v>2037</v>
      </c>
      <c r="F540" s="5" t="s">
        <v>1269</v>
      </c>
      <c r="G540" s="5" t="str">
        <f t="shared" si="159"/>
        <v>Not Available</v>
      </c>
      <c r="H540" s="5" t="str">
        <f t="shared" ref="H540:H546" si="161">"Not Available"</f>
        <v>Not Available</v>
      </c>
      <c r="I540" s="5" t="s">
        <v>22</v>
      </c>
      <c r="J540" s="5" t="s">
        <v>3392</v>
      </c>
      <c r="K540" s="5" t="s">
        <v>3393</v>
      </c>
      <c r="L540" s="5" t="s">
        <v>22</v>
      </c>
      <c r="M540" s="5" t="s">
        <v>3456</v>
      </c>
      <c r="N540" s="5" t="s">
        <v>2038</v>
      </c>
      <c r="O540" s="5" t="s">
        <v>33</v>
      </c>
      <c r="P540" s="5" t="s">
        <v>26</v>
      </c>
      <c r="Q540" s="5" t="s">
        <v>34</v>
      </c>
      <c r="R540" s="5">
        <v>2136</v>
      </c>
      <c r="S540" s="5">
        <v>42.394703513624201</v>
      </c>
      <c r="T540" s="5">
        <v>-71.017290430000003</v>
      </c>
    </row>
    <row r="541" spans="1:20" x14ac:dyDescent="0.3">
      <c r="A541" s="5" t="s">
        <v>2039</v>
      </c>
      <c r="B541" s="6">
        <v>33504</v>
      </c>
      <c r="C541" s="6" t="str">
        <f t="shared" si="160"/>
        <v>Active/Unavailable</v>
      </c>
      <c r="D541" s="5" t="s">
        <v>29</v>
      </c>
      <c r="E541" s="5" t="s">
        <v>304</v>
      </c>
      <c r="F541" s="5" t="s">
        <v>102</v>
      </c>
      <c r="G541" s="5" t="str">
        <f t="shared" si="159"/>
        <v>Not Available</v>
      </c>
      <c r="H541" s="5" t="str">
        <f t="shared" si="161"/>
        <v>Not Available</v>
      </c>
      <c r="I541" s="5" t="s">
        <v>22</v>
      </c>
      <c r="J541" s="5" t="s">
        <v>3387</v>
      </c>
      <c r="K541" s="5" t="s">
        <v>3393</v>
      </c>
      <c r="L541" s="5" t="s">
        <v>22</v>
      </c>
      <c r="M541" s="5" t="s">
        <v>3475</v>
      </c>
      <c r="N541" s="5" t="s">
        <v>2040</v>
      </c>
      <c r="O541" s="5" t="s">
        <v>172</v>
      </c>
      <c r="P541" s="5" t="s">
        <v>26</v>
      </c>
      <c r="Q541" s="5" t="s">
        <v>34</v>
      </c>
      <c r="R541" s="5">
        <v>2149</v>
      </c>
      <c r="S541" s="5">
        <v>42.3740266389757</v>
      </c>
      <c r="T541" s="5">
        <v>-71.038666419999998</v>
      </c>
    </row>
    <row r="542" spans="1:20" x14ac:dyDescent="0.3">
      <c r="A542" s="5" t="s">
        <v>2041</v>
      </c>
      <c r="B542" s="6">
        <v>8414</v>
      </c>
      <c r="C542" s="6" t="str">
        <f t="shared" si="160"/>
        <v>Active/Unavailable</v>
      </c>
      <c r="D542" s="5" t="s">
        <v>29</v>
      </c>
      <c r="E542" s="5" t="s">
        <v>2042</v>
      </c>
      <c r="F542" s="5" t="s">
        <v>2043</v>
      </c>
      <c r="G542" s="5" t="str">
        <f t="shared" si="159"/>
        <v>Not Available</v>
      </c>
      <c r="H542" s="5" t="str">
        <f t="shared" si="161"/>
        <v>Not Available</v>
      </c>
      <c r="I542" s="5" t="s">
        <v>65</v>
      </c>
      <c r="J542" s="5" t="s">
        <v>3387</v>
      </c>
      <c r="K542" s="5" t="s">
        <v>3393</v>
      </c>
      <c r="L542" s="5" t="s">
        <v>22</v>
      </c>
      <c r="M542" s="5" t="s">
        <v>3500</v>
      </c>
      <c r="N542" s="5" t="s">
        <v>2044</v>
      </c>
      <c r="O542" s="5" t="s">
        <v>33</v>
      </c>
      <c r="P542" s="5" t="s">
        <v>26</v>
      </c>
      <c r="Q542" s="5" t="s">
        <v>34</v>
      </c>
      <c r="R542" s="5">
        <v>2113</v>
      </c>
      <c r="S542" s="5">
        <v>42.320212194388198</v>
      </c>
      <c r="T542" s="5">
        <v>-71.013540849999998</v>
      </c>
    </row>
    <row r="543" spans="1:20" x14ac:dyDescent="0.3">
      <c r="A543" s="5" t="s">
        <v>2045</v>
      </c>
      <c r="B543" s="6">
        <v>10434</v>
      </c>
      <c r="C543" s="6" t="str">
        <f t="shared" si="160"/>
        <v>Active/Unavailable</v>
      </c>
      <c r="D543" s="5" t="s">
        <v>29</v>
      </c>
      <c r="E543" s="5" t="s">
        <v>2046</v>
      </c>
      <c r="F543" s="5" t="s">
        <v>1221</v>
      </c>
      <c r="G543" s="5" t="str">
        <f t="shared" si="159"/>
        <v>Not Available</v>
      </c>
      <c r="H543" s="5" t="str">
        <f t="shared" si="161"/>
        <v>Not Available</v>
      </c>
      <c r="I543" s="5" t="s">
        <v>65</v>
      </c>
      <c r="J543" s="5" t="s">
        <v>3387</v>
      </c>
      <c r="K543" s="5" t="s">
        <v>3393</v>
      </c>
      <c r="L543" s="5" t="s">
        <v>22</v>
      </c>
      <c r="M543" s="5" t="s">
        <v>3502</v>
      </c>
      <c r="N543" s="5" t="s">
        <v>2047</v>
      </c>
      <c r="O543" s="5" t="s">
        <v>33</v>
      </c>
      <c r="P543" s="5" t="s">
        <v>26</v>
      </c>
      <c r="Q543" s="5" t="s">
        <v>34</v>
      </c>
      <c r="R543" s="5">
        <v>2130</v>
      </c>
      <c r="S543" s="5">
        <v>42.373406475948798</v>
      </c>
      <c r="T543" s="5">
        <v>-71.042787950000005</v>
      </c>
    </row>
    <row r="544" spans="1:20" x14ac:dyDescent="0.3">
      <c r="A544" s="5" t="s">
        <v>2048</v>
      </c>
      <c r="B544" s="6">
        <v>14542</v>
      </c>
      <c r="C544" s="6" t="str">
        <f t="shared" si="160"/>
        <v>Active/Unavailable</v>
      </c>
      <c r="D544" s="5" t="s">
        <v>29</v>
      </c>
      <c r="E544" s="5" t="s">
        <v>2049</v>
      </c>
      <c r="F544" s="5" t="s">
        <v>1304</v>
      </c>
      <c r="G544" s="5" t="str">
        <f t="shared" si="159"/>
        <v>Not Available</v>
      </c>
      <c r="H544" s="5" t="str">
        <f t="shared" si="161"/>
        <v>Not Available</v>
      </c>
      <c r="I544" s="5" t="s">
        <v>22</v>
      </c>
      <c r="J544" s="5" t="s">
        <v>3387</v>
      </c>
      <c r="K544" s="5" t="s">
        <v>3393</v>
      </c>
      <c r="L544" s="5" t="s">
        <v>22</v>
      </c>
      <c r="M544" s="5" t="s">
        <v>3627</v>
      </c>
      <c r="N544" s="5" t="s">
        <v>2050</v>
      </c>
      <c r="O544" s="5" t="s">
        <v>33</v>
      </c>
      <c r="P544" s="5" t="s">
        <v>26</v>
      </c>
      <c r="Q544" s="5" t="s">
        <v>34</v>
      </c>
      <c r="R544" s="5">
        <v>2119</v>
      </c>
      <c r="S544" s="5">
        <v>42.390119915685503</v>
      </c>
      <c r="T544" s="5">
        <v>-70.957375920000004</v>
      </c>
    </row>
    <row r="545" spans="1:20" x14ac:dyDescent="0.3">
      <c r="A545" s="5" t="s">
        <v>2051</v>
      </c>
      <c r="B545" s="6">
        <v>32891</v>
      </c>
      <c r="C545" s="6" t="str">
        <f t="shared" si="160"/>
        <v>Active/Unavailable</v>
      </c>
      <c r="D545" s="5" t="s">
        <v>29</v>
      </c>
      <c r="E545" s="5" t="s">
        <v>3351</v>
      </c>
      <c r="F545" s="5" t="s">
        <v>2052</v>
      </c>
      <c r="G545" s="5" t="str">
        <f t="shared" si="159"/>
        <v>Not Available</v>
      </c>
      <c r="H545" s="5" t="str">
        <f t="shared" si="161"/>
        <v>Not Available</v>
      </c>
      <c r="I545" s="5" t="s">
        <v>65</v>
      </c>
      <c r="J545" s="5" t="s">
        <v>3387</v>
      </c>
      <c r="K545" s="5" t="s">
        <v>3394</v>
      </c>
      <c r="L545" s="5" t="s">
        <v>22</v>
      </c>
      <c r="M545" s="5" t="s">
        <v>3426</v>
      </c>
      <c r="N545" s="5" t="s">
        <v>2053</v>
      </c>
      <c r="O545" s="5" t="s">
        <v>108</v>
      </c>
      <c r="P545" s="5" t="s">
        <v>26</v>
      </c>
      <c r="Q545" s="5" t="s">
        <v>34</v>
      </c>
      <c r="R545" s="5">
        <v>2151</v>
      </c>
      <c r="S545" s="5">
        <v>42.403525132095197</v>
      </c>
      <c r="T545" s="5">
        <v>-70.976426590000003</v>
      </c>
    </row>
    <row r="546" spans="1:20" x14ac:dyDescent="0.3">
      <c r="A546" s="5" t="s">
        <v>2054</v>
      </c>
      <c r="B546" s="6">
        <v>26404</v>
      </c>
      <c r="C546" s="6" t="str">
        <f t="shared" si="160"/>
        <v>Active/Unavailable</v>
      </c>
      <c r="D546" s="5" t="s">
        <v>29</v>
      </c>
      <c r="E546" s="5" t="s">
        <v>2055</v>
      </c>
      <c r="F546" s="5" t="s">
        <v>20</v>
      </c>
      <c r="G546" s="5" t="str">
        <f t="shared" si="159"/>
        <v>Not Available</v>
      </c>
      <c r="H546" s="5" t="str">
        <f t="shared" si="161"/>
        <v>Not Available</v>
      </c>
      <c r="I546" s="5" t="s">
        <v>22</v>
      </c>
      <c r="J546" s="5" t="s">
        <v>3388</v>
      </c>
      <c r="K546" s="5" t="s">
        <v>3393</v>
      </c>
      <c r="L546" s="5" t="s">
        <v>22</v>
      </c>
      <c r="M546" s="5" t="s">
        <v>3400</v>
      </c>
      <c r="N546" s="5" t="s">
        <v>2056</v>
      </c>
      <c r="O546" s="5" t="s">
        <v>2057</v>
      </c>
      <c r="P546" s="5" t="s">
        <v>26</v>
      </c>
      <c r="Q546" s="5" t="s">
        <v>57</v>
      </c>
      <c r="R546" s="5">
        <v>1890</v>
      </c>
      <c r="S546" s="5">
        <v>42.495464454157897</v>
      </c>
      <c r="T546" s="5">
        <v>-71.120479340000003</v>
      </c>
    </row>
    <row r="547" spans="1:20" x14ac:dyDescent="0.3">
      <c r="A547" s="5" t="s">
        <v>2058</v>
      </c>
      <c r="B547" s="6">
        <v>30301</v>
      </c>
      <c r="C547" s="6" t="str">
        <f t="shared" si="160"/>
        <v>Active/Unavailable</v>
      </c>
      <c r="D547" s="5" t="s">
        <v>18</v>
      </c>
      <c r="E547" s="5" t="s">
        <v>2059</v>
      </c>
      <c r="F547" s="5" t="s">
        <v>305</v>
      </c>
      <c r="G547" s="5" t="str">
        <f t="shared" si="159"/>
        <v>Not Available</v>
      </c>
      <c r="H547" s="5" t="s">
        <v>2060</v>
      </c>
      <c r="I547" s="5" t="s">
        <v>22</v>
      </c>
      <c r="J547" s="5" t="s">
        <v>3387</v>
      </c>
      <c r="K547" s="5" t="s">
        <v>3393</v>
      </c>
      <c r="L547" s="5" t="s">
        <v>23</v>
      </c>
      <c r="M547" s="5" t="s">
        <v>3530</v>
      </c>
      <c r="N547" s="5" t="s">
        <v>2061</v>
      </c>
      <c r="O547" s="5" t="s">
        <v>33</v>
      </c>
      <c r="P547" s="5" t="s">
        <v>26</v>
      </c>
      <c r="Q547" s="5" t="s">
        <v>34</v>
      </c>
      <c r="R547" s="5">
        <v>2108</v>
      </c>
      <c r="S547" s="5">
        <v>42.387733273909497</v>
      </c>
      <c r="T547" s="5">
        <v>-71.029467109999999</v>
      </c>
    </row>
    <row r="548" spans="1:20" x14ac:dyDescent="0.3">
      <c r="A548" s="5" t="s">
        <v>2062</v>
      </c>
      <c r="B548" s="6">
        <v>26688</v>
      </c>
      <c r="C548" s="6" t="str">
        <f t="shared" si="160"/>
        <v>Active/Unavailable</v>
      </c>
      <c r="D548" s="5" t="s">
        <v>18</v>
      </c>
      <c r="E548" s="5" t="s">
        <v>2063</v>
      </c>
      <c r="F548" s="5" t="s">
        <v>920</v>
      </c>
      <c r="G548" s="5" t="str">
        <f t="shared" si="159"/>
        <v>Not Available</v>
      </c>
      <c r="H548" s="5" t="s">
        <v>2064</v>
      </c>
      <c r="I548" s="5" t="s">
        <v>22</v>
      </c>
      <c r="J548" s="5" t="s">
        <v>3387</v>
      </c>
      <c r="K548" s="5" t="s">
        <v>3393</v>
      </c>
      <c r="L548" s="5" t="s">
        <v>23</v>
      </c>
      <c r="M548" s="5" t="s">
        <v>3447</v>
      </c>
      <c r="N548" s="5" t="s">
        <v>2065</v>
      </c>
      <c r="O548" s="5" t="s">
        <v>33</v>
      </c>
      <c r="P548" s="5" t="s">
        <v>26</v>
      </c>
      <c r="Q548" s="5" t="s">
        <v>34</v>
      </c>
      <c r="R548" s="5" t="str">
        <f>"0000"</f>
        <v>0000</v>
      </c>
      <c r="S548" s="5">
        <v>42.307996773725002</v>
      </c>
      <c r="T548" s="5">
        <v>-71.075126699999998</v>
      </c>
    </row>
    <row r="549" spans="1:20" x14ac:dyDescent="0.3">
      <c r="A549" s="5" t="s">
        <v>2066</v>
      </c>
      <c r="B549" s="6">
        <v>8125</v>
      </c>
      <c r="C549" s="6" t="str">
        <f t="shared" si="160"/>
        <v>Active/Unavailable</v>
      </c>
      <c r="D549" s="5" t="s">
        <v>18</v>
      </c>
      <c r="E549" s="5" t="s">
        <v>2067</v>
      </c>
      <c r="F549" s="5" t="s">
        <v>115</v>
      </c>
      <c r="G549" s="5" t="str">
        <f t="shared" si="159"/>
        <v>Not Available</v>
      </c>
      <c r="H549" s="5" t="s">
        <v>1571</v>
      </c>
      <c r="I549" s="5" t="s">
        <v>22</v>
      </c>
      <c r="J549" s="5" t="s">
        <v>3387</v>
      </c>
      <c r="K549" s="5" t="s">
        <v>3393</v>
      </c>
      <c r="L549" s="5" t="s">
        <v>23</v>
      </c>
      <c r="M549" s="5" t="s">
        <v>3410</v>
      </c>
      <c r="N549" s="5" t="s">
        <v>2068</v>
      </c>
      <c r="O549" s="5" t="s">
        <v>56</v>
      </c>
      <c r="P549" s="5" t="s">
        <v>26</v>
      </c>
      <c r="Q549" s="5" t="s">
        <v>57</v>
      </c>
      <c r="R549" s="5">
        <v>2139</v>
      </c>
      <c r="S549" s="5">
        <v>42.384103778506102</v>
      </c>
      <c r="T549" s="5">
        <v>-71.072209990000005</v>
      </c>
    </row>
    <row r="550" spans="1:20" x14ac:dyDescent="0.3">
      <c r="A550" s="5" t="s">
        <v>2069</v>
      </c>
      <c r="B550" s="6">
        <v>11496</v>
      </c>
      <c r="C550" s="6" t="str">
        <f t="shared" si="160"/>
        <v>Active/Unavailable</v>
      </c>
      <c r="D550" s="5" t="s">
        <v>18</v>
      </c>
      <c r="E550" s="5" t="s">
        <v>2070</v>
      </c>
      <c r="F550" s="5" t="s">
        <v>1086</v>
      </c>
      <c r="G550" s="5" t="str">
        <f t="shared" si="159"/>
        <v>Not Available</v>
      </c>
      <c r="H550" s="5" t="s">
        <v>567</v>
      </c>
      <c r="I550" s="5" t="s">
        <v>22</v>
      </c>
      <c r="J550" s="5" t="s">
        <v>3387</v>
      </c>
      <c r="K550" s="5" t="s">
        <v>3393</v>
      </c>
      <c r="L550" s="5" t="s">
        <v>23</v>
      </c>
      <c r="M550" s="5" t="s">
        <v>3628</v>
      </c>
      <c r="N550" s="5" t="s">
        <v>2071</v>
      </c>
      <c r="O550" s="5" t="s">
        <v>33</v>
      </c>
      <c r="P550" s="5" t="s">
        <v>26</v>
      </c>
      <c r="Q550" s="5" t="s">
        <v>34</v>
      </c>
      <c r="R550" s="5">
        <v>2127</v>
      </c>
      <c r="S550" s="5">
        <v>42.328552736457198</v>
      </c>
      <c r="T550" s="5">
        <v>-71.091672119999998</v>
      </c>
    </row>
    <row r="551" spans="1:20" x14ac:dyDescent="0.3">
      <c r="A551" s="5" t="s">
        <v>2072</v>
      </c>
      <c r="B551" s="6">
        <v>21933</v>
      </c>
      <c r="C551" s="6" t="str">
        <f t="shared" si="160"/>
        <v>Active/Unavailable</v>
      </c>
      <c r="D551" s="5" t="s">
        <v>18</v>
      </c>
      <c r="E551" s="5" t="s">
        <v>2073</v>
      </c>
      <c r="F551" s="5" t="s">
        <v>1307</v>
      </c>
      <c r="G551" s="5" t="str">
        <f t="shared" si="159"/>
        <v>Not Available</v>
      </c>
      <c r="H551" s="5" t="s">
        <v>352</v>
      </c>
      <c r="I551" s="5" t="s">
        <v>22</v>
      </c>
      <c r="J551" s="5" t="s">
        <v>3388</v>
      </c>
      <c r="K551" s="5" t="s">
        <v>3393</v>
      </c>
      <c r="L551" s="5" t="s">
        <v>23</v>
      </c>
      <c r="M551" s="5" t="s">
        <v>3629</v>
      </c>
      <c r="N551" s="5" t="s">
        <v>2074</v>
      </c>
      <c r="O551" s="5" t="s">
        <v>145</v>
      </c>
      <c r="P551" s="5" t="s">
        <v>26</v>
      </c>
      <c r="Q551" s="5" t="s">
        <v>57</v>
      </c>
      <c r="R551" s="5">
        <v>2149</v>
      </c>
      <c r="S551" s="5">
        <v>42.375237943807399</v>
      </c>
      <c r="T551" s="5">
        <v>-71.040036029999996</v>
      </c>
    </row>
    <row r="552" spans="1:20" x14ac:dyDescent="0.3">
      <c r="A552" s="5" t="s">
        <v>2075</v>
      </c>
      <c r="B552" s="6">
        <v>21365</v>
      </c>
      <c r="C552" s="6" t="str">
        <f t="shared" si="160"/>
        <v>Active/Unavailable</v>
      </c>
      <c r="D552" s="5" t="s">
        <v>29</v>
      </c>
      <c r="E552" s="5" t="s">
        <v>2076</v>
      </c>
      <c r="F552" s="5" t="s">
        <v>272</v>
      </c>
      <c r="G552" s="5" t="str">
        <f t="shared" si="159"/>
        <v>Not Available</v>
      </c>
      <c r="H552" s="5" t="str">
        <f>"Not Available"</f>
        <v>Not Available</v>
      </c>
      <c r="I552" s="5" t="s">
        <v>22</v>
      </c>
      <c r="J552" s="5" t="s">
        <v>3387</v>
      </c>
      <c r="K552" s="5" t="s">
        <v>3394</v>
      </c>
      <c r="L552" s="5" t="s">
        <v>22</v>
      </c>
      <c r="M552" s="5" t="s">
        <v>3513</v>
      </c>
      <c r="N552" s="5" t="s">
        <v>2077</v>
      </c>
      <c r="O552" s="5" t="s">
        <v>33</v>
      </c>
      <c r="P552" s="5" t="s">
        <v>26</v>
      </c>
      <c r="Q552" s="5" t="s">
        <v>34</v>
      </c>
      <c r="R552" s="5">
        <v>2215</v>
      </c>
      <c r="S552" s="5">
        <v>42.311238399105697</v>
      </c>
      <c r="T552" s="5">
        <v>-71.07203887</v>
      </c>
    </row>
    <row r="553" spans="1:20" x14ac:dyDescent="0.3">
      <c r="A553" s="5" t="s">
        <v>2078</v>
      </c>
      <c r="B553" s="6">
        <v>14398</v>
      </c>
      <c r="C553" s="6" t="str">
        <f t="shared" si="160"/>
        <v>Active/Unavailable</v>
      </c>
      <c r="D553" s="5" t="s">
        <v>18</v>
      </c>
      <c r="E553" s="5" t="s">
        <v>3357</v>
      </c>
      <c r="F553" s="5" t="s">
        <v>2079</v>
      </c>
      <c r="G553" s="5" t="str">
        <f t="shared" si="159"/>
        <v>Not Available</v>
      </c>
      <c r="H553" s="5" t="s">
        <v>2080</v>
      </c>
      <c r="I553" s="5" t="s">
        <v>22</v>
      </c>
      <c r="J553" s="5" t="s">
        <v>3388</v>
      </c>
      <c r="K553" s="5" t="s">
        <v>3394</v>
      </c>
      <c r="L553" s="5" t="s">
        <v>23</v>
      </c>
      <c r="M553" s="5" t="s">
        <v>3531</v>
      </c>
      <c r="N553" s="5" t="s">
        <v>2081</v>
      </c>
      <c r="O553" s="5" t="s">
        <v>56</v>
      </c>
      <c r="P553" s="5" t="s">
        <v>26</v>
      </c>
      <c r="Q553" s="5" t="s">
        <v>57</v>
      </c>
      <c r="R553" s="5">
        <v>2472</v>
      </c>
      <c r="S553" s="5">
        <v>42.332423588740497</v>
      </c>
      <c r="T553" s="5">
        <v>-71.116131730000006</v>
      </c>
    </row>
    <row r="554" spans="1:20" x14ac:dyDescent="0.3">
      <c r="A554" s="5" t="s">
        <v>2082</v>
      </c>
      <c r="B554" s="6">
        <v>29801</v>
      </c>
      <c r="C554" s="6" t="str">
        <f t="shared" si="160"/>
        <v>Active/Unavailable</v>
      </c>
      <c r="D554" s="5" t="s">
        <v>18</v>
      </c>
      <c r="E554" s="5" t="s">
        <v>2083</v>
      </c>
      <c r="F554" s="5" t="s">
        <v>713</v>
      </c>
      <c r="G554" s="5" t="str">
        <f t="shared" si="159"/>
        <v>Not Available</v>
      </c>
      <c r="H554" s="5" t="s">
        <v>597</v>
      </c>
      <c r="I554" s="5" t="s">
        <v>22</v>
      </c>
      <c r="J554" s="5" t="s">
        <v>3389</v>
      </c>
      <c r="K554" s="5" t="s">
        <v>3393</v>
      </c>
      <c r="L554" s="5" t="s">
        <v>23</v>
      </c>
      <c r="M554" s="5" t="s">
        <v>3529</v>
      </c>
      <c r="N554" s="5" t="s">
        <v>2084</v>
      </c>
      <c r="O554" s="5" t="s">
        <v>33</v>
      </c>
      <c r="P554" s="5" t="s">
        <v>26</v>
      </c>
      <c r="Q554" s="5" t="s">
        <v>34</v>
      </c>
      <c r="R554" s="5">
        <v>2131</v>
      </c>
      <c r="S554" s="5">
        <v>42.362238325013401</v>
      </c>
      <c r="T554" s="5">
        <v>-71.057148929999997</v>
      </c>
    </row>
    <row r="555" spans="1:20" x14ac:dyDescent="0.3">
      <c r="A555" s="5" t="s">
        <v>2085</v>
      </c>
      <c r="B555" s="6">
        <v>8205</v>
      </c>
      <c r="C555" s="6" t="str">
        <f t="shared" si="160"/>
        <v>Active/Unavailable</v>
      </c>
      <c r="D555" s="5" t="s">
        <v>29</v>
      </c>
      <c r="E555" s="5" t="s">
        <v>2086</v>
      </c>
      <c r="F555" s="5" t="s">
        <v>1042</v>
      </c>
      <c r="G555" s="5" t="str">
        <f t="shared" si="159"/>
        <v>Not Available</v>
      </c>
      <c r="H555" s="5" t="str">
        <f>"Not Available"</f>
        <v>Not Available</v>
      </c>
      <c r="I555" s="5" t="s">
        <v>22</v>
      </c>
      <c r="J555" s="5" t="s">
        <v>3387</v>
      </c>
      <c r="K555" s="5" t="s">
        <v>3393</v>
      </c>
      <c r="L555" s="5" t="s">
        <v>22</v>
      </c>
      <c r="M555" s="5" t="s">
        <v>3400</v>
      </c>
      <c r="N555" s="5" t="s">
        <v>2087</v>
      </c>
      <c r="O555" s="5" t="s">
        <v>574</v>
      </c>
      <c r="P555" s="5" t="s">
        <v>26</v>
      </c>
      <c r="Q555" s="5" t="s">
        <v>27</v>
      </c>
      <c r="R555" s="5">
        <v>2467</v>
      </c>
      <c r="S555" s="5">
        <v>42.3886153538771</v>
      </c>
      <c r="T555" s="5">
        <v>-71.083356559999999</v>
      </c>
    </row>
    <row r="556" spans="1:20" x14ac:dyDescent="0.3">
      <c r="A556" s="5" t="s">
        <v>2088</v>
      </c>
      <c r="B556" s="6">
        <v>16092</v>
      </c>
      <c r="C556" s="6" t="str">
        <f t="shared" si="160"/>
        <v>Active/Unavailable</v>
      </c>
      <c r="D556" s="5" t="s">
        <v>18</v>
      </c>
      <c r="E556" s="5" t="s">
        <v>1406</v>
      </c>
      <c r="F556" s="5" t="s">
        <v>133</v>
      </c>
      <c r="G556" s="5" t="str">
        <f t="shared" si="159"/>
        <v>Not Available</v>
      </c>
      <c r="H556" s="5" t="s">
        <v>111</v>
      </c>
      <c r="I556" s="5" t="s">
        <v>22</v>
      </c>
      <c r="J556" s="5" t="s">
        <v>3387</v>
      </c>
      <c r="K556" s="5" t="s">
        <v>3393</v>
      </c>
      <c r="L556" s="5" t="s">
        <v>23</v>
      </c>
      <c r="M556" s="5" t="s">
        <v>3525</v>
      </c>
      <c r="N556" s="5" t="s">
        <v>2089</v>
      </c>
      <c r="O556" s="5" t="s">
        <v>33</v>
      </c>
      <c r="P556" s="5" t="s">
        <v>26</v>
      </c>
      <c r="Q556" s="5" t="s">
        <v>34</v>
      </c>
      <c r="R556" s="5">
        <v>2109</v>
      </c>
      <c r="S556" s="5">
        <v>42.375487094197901</v>
      </c>
      <c r="T556" s="5">
        <v>-71.039621299999993</v>
      </c>
    </row>
    <row r="557" spans="1:20" x14ac:dyDescent="0.3">
      <c r="A557" s="5" t="s">
        <v>2090</v>
      </c>
      <c r="B557" s="6">
        <v>24974</v>
      </c>
      <c r="C557" s="6" t="str">
        <f t="shared" si="160"/>
        <v>Active/Unavailable</v>
      </c>
      <c r="D557" s="5" t="s">
        <v>18</v>
      </c>
      <c r="E557" s="5" t="s">
        <v>630</v>
      </c>
      <c r="F557" s="5" t="s">
        <v>1403</v>
      </c>
      <c r="G557" s="5" t="str">
        <f t="shared" si="159"/>
        <v>Not Available</v>
      </c>
      <c r="H557" s="5" t="s">
        <v>541</v>
      </c>
      <c r="I557" s="5" t="s">
        <v>22</v>
      </c>
      <c r="J557" s="5" t="s">
        <v>3387</v>
      </c>
      <c r="K557" s="5" t="s">
        <v>3393</v>
      </c>
      <c r="L557" s="5" t="s">
        <v>23</v>
      </c>
      <c r="M557" s="5" t="s">
        <v>3406</v>
      </c>
      <c r="N557" s="5" t="s">
        <v>2091</v>
      </c>
      <c r="O557" s="5" t="s">
        <v>108</v>
      </c>
      <c r="P557" s="5" t="s">
        <v>26</v>
      </c>
      <c r="Q557" s="5" t="s">
        <v>34</v>
      </c>
      <c r="R557" s="5">
        <v>2151</v>
      </c>
      <c r="S557" s="5">
        <v>42.372760528583001</v>
      </c>
      <c r="T557" s="5">
        <v>-71.011427569999995</v>
      </c>
    </row>
    <row r="558" spans="1:20" x14ac:dyDescent="0.3">
      <c r="A558" s="5" t="s">
        <v>2092</v>
      </c>
      <c r="B558" s="6">
        <v>16123</v>
      </c>
      <c r="C558" s="6" t="str">
        <f t="shared" si="160"/>
        <v>Active/Unavailable</v>
      </c>
      <c r="D558" s="5" t="s">
        <v>18</v>
      </c>
      <c r="E558" s="5" t="s">
        <v>2093</v>
      </c>
      <c r="F558" s="5" t="s">
        <v>1221</v>
      </c>
      <c r="G558" s="5" t="str">
        <f t="shared" si="159"/>
        <v>Not Available</v>
      </c>
      <c r="H558" s="5" t="s">
        <v>698</v>
      </c>
      <c r="I558" s="5" t="s">
        <v>22</v>
      </c>
      <c r="J558" s="5" t="s">
        <v>3387</v>
      </c>
      <c r="K558" s="5" t="s">
        <v>3393</v>
      </c>
      <c r="L558" s="5" t="s">
        <v>23</v>
      </c>
      <c r="M558" s="5" t="s">
        <v>3400</v>
      </c>
      <c r="N558" s="5" t="s">
        <v>2094</v>
      </c>
      <c r="O558" s="5" t="s">
        <v>33</v>
      </c>
      <c r="P558" s="5" t="s">
        <v>26</v>
      </c>
      <c r="Q558" s="5" t="s">
        <v>34</v>
      </c>
      <c r="R558" s="5">
        <v>2215</v>
      </c>
      <c r="S558" s="5">
        <v>42.332445746521699</v>
      </c>
      <c r="T558" s="5">
        <v>-71.041051010000004</v>
      </c>
    </row>
    <row r="559" spans="1:20" x14ac:dyDescent="0.3">
      <c r="A559" s="5" t="s">
        <v>2095</v>
      </c>
      <c r="B559" s="6">
        <v>8621</v>
      </c>
      <c r="C559" s="6" t="str">
        <f t="shared" si="160"/>
        <v>Active/Unavailable</v>
      </c>
      <c r="D559" s="5" t="s">
        <v>18</v>
      </c>
      <c r="E559" s="5" t="s">
        <v>2096</v>
      </c>
      <c r="F559" s="5" t="s">
        <v>2097</v>
      </c>
      <c r="G559" s="5" t="str">
        <f t="shared" si="159"/>
        <v>Not Available</v>
      </c>
      <c r="H559" s="5" t="s">
        <v>2098</v>
      </c>
      <c r="I559" s="5" t="s">
        <v>22</v>
      </c>
      <c r="J559" s="5" t="s">
        <v>3387</v>
      </c>
      <c r="K559" s="5" t="s">
        <v>3393</v>
      </c>
      <c r="L559" s="5" t="s">
        <v>23</v>
      </c>
      <c r="M559" s="5" t="s">
        <v>3522</v>
      </c>
      <c r="N559" s="5" t="s">
        <v>2099</v>
      </c>
      <c r="O559" s="5" t="s">
        <v>33</v>
      </c>
      <c r="P559" s="5" t="s">
        <v>26</v>
      </c>
      <c r="Q559" s="5" t="s">
        <v>34</v>
      </c>
      <c r="R559" s="5">
        <v>2152</v>
      </c>
      <c r="S559" s="5">
        <v>42.354444790508097</v>
      </c>
      <c r="T559" s="5">
        <v>-71.042738110000002</v>
      </c>
    </row>
    <row r="560" spans="1:20" x14ac:dyDescent="0.3">
      <c r="A560" s="5" t="s">
        <v>2100</v>
      </c>
      <c r="B560" s="6">
        <v>15106</v>
      </c>
      <c r="C560" s="6" t="str">
        <f t="shared" si="160"/>
        <v>Active/Unavailable</v>
      </c>
      <c r="D560" s="5" t="s">
        <v>18</v>
      </c>
      <c r="E560" s="5" t="s">
        <v>2101</v>
      </c>
      <c r="F560" s="5" t="s">
        <v>2102</v>
      </c>
      <c r="G560" s="5" t="str">
        <f t="shared" si="159"/>
        <v>Not Available</v>
      </c>
      <c r="H560" s="5" t="s">
        <v>1386</v>
      </c>
      <c r="I560" s="5" t="s">
        <v>22</v>
      </c>
      <c r="J560" s="5" t="s">
        <v>3387</v>
      </c>
      <c r="K560" s="5" t="s">
        <v>3393</v>
      </c>
      <c r="L560" s="5" t="s">
        <v>23</v>
      </c>
      <c r="M560" s="5" t="s">
        <v>3630</v>
      </c>
      <c r="N560" s="5" t="s">
        <v>2103</v>
      </c>
      <c r="O560" s="5" t="s">
        <v>33</v>
      </c>
      <c r="P560" s="5" t="s">
        <v>26</v>
      </c>
      <c r="Q560" s="5" t="s">
        <v>34</v>
      </c>
      <c r="R560" s="5">
        <v>2203</v>
      </c>
      <c r="S560" s="5">
        <v>42.333365646828298</v>
      </c>
      <c r="T560" s="5">
        <v>-71.027393849999996</v>
      </c>
    </row>
    <row r="561" spans="1:20" x14ac:dyDescent="0.3">
      <c r="A561" s="5" t="s">
        <v>2104</v>
      </c>
      <c r="B561" s="6">
        <v>19828</v>
      </c>
      <c r="C561" s="6" t="str">
        <f t="shared" si="160"/>
        <v>Active/Unavailable</v>
      </c>
      <c r="D561" s="5" t="s">
        <v>29</v>
      </c>
      <c r="E561" s="5" t="s">
        <v>2105</v>
      </c>
      <c r="F561" s="5" t="s">
        <v>295</v>
      </c>
      <c r="G561" s="5" t="str">
        <f t="shared" si="159"/>
        <v>Not Available</v>
      </c>
      <c r="H561" s="5" t="str">
        <f t="shared" ref="H561:H562" si="162">"Not Available"</f>
        <v>Not Available</v>
      </c>
      <c r="I561" s="5" t="s">
        <v>22</v>
      </c>
      <c r="J561" s="5" t="s">
        <v>3389</v>
      </c>
      <c r="K561" s="5" t="s">
        <v>3393</v>
      </c>
      <c r="L561" s="5" t="s">
        <v>22</v>
      </c>
      <c r="M561" s="5" t="s">
        <v>3400</v>
      </c>
      <c r="N561" s="5" t="s">
        <v>2106</v>
      </c>
      <c r="O561" s="5" t="s">
        <v>33</v>
      </c>
      <c r="P561" s="5" t="s">
        <v>26</v>
      </c>
      <c r="Q561" s="5" t="s">
        <v>34</v>
      </c>
      <c r="R561" s="5">
        <v>2125</v>
      </c>
      <c r="S561" s="5">
        <v>42.371203569164997</v>
      </c>
      <c r="T561" s="5">
        <v>-71.084938190000003</v>
      </c>
    </row>
    <row r="562" spans="1:20" x14ac:dyDescent="0.3">
      <c r="A562" s="5" t="s">
        <v>2107</v>
      </c>
      <c r="B562" s="6">
        <v>11208</v>
      </c>
      <c r="C562" s="6">
        <v>43541</v>
      </c>
      <c r="D562" s="5" t="s">
        <v>29</v>
      </c>
      <c r="E562" s="5" t="s">
        <v>2108</v>
      </c>
      <c r="F562" s="5" t="s">
        <v>291</v>
      </c>
      <c r="G562" s="5" t="str">
        <f t="shared" si="159"/>
        <v>Not Available</v>
      </c>
      <c r="H562" s="5" t="str">
        <f t="shared" si="162"/>
        <v>Not Available</v>
      </c>
      <c r="I562" s="5" t="s">
        <v>22</v>
      </c>
      <c r="J562" s="5" t="s">
        <v>3387</v>
      </c>
      <c r="K562" s="5" t="s">
        <v>3393</v>
      </c>
      <c r="L562" s="5" t="s">
        <v>22</v>
      </c>
      <c r="M562" s="5" t="s">
        <v>3496</v>
      </c>
      <c r="N562" s="5" t="s">
        <v>2109</v>
      </c>
      <c r="O562" s="5" t="s">
        <v>56</v>
      </c>
      <c r="P562" s="5" t="s">
        <v>26</v>
      </c>
      <c r="Q562" s="5" t="s">
        <v>57</v>
      </c>
      <c r="R562" s="5">
        <v>2472</v>
      </c>
      <c r="S562" s="5">
        <v>42.410631939441899</v>
      </c>
      <c r="T562" s="5">
        <v>-71.101542280000004</v>
      </c>
    </row>
    <row r="563" spans="1:20" x14ac:dyDescent="0.3">
      <c r="A563" s="5" t="s">
        <v>2110</v>
      </c>
      <c r="B563" s="6">
        <v>10246</v>
      </c>
      <c r="C563" s="6" t="str">
        <f t="shared" ref="C563:C566" si="163">"Active/Unavailable"</f>
        <v>Active/Unavailable</v>
      </c>
      <c r="D563" s="5" t="s">
        <v>18</v>
      </c>
      <c r="E563" s="5" t="s">
        <v>2111</v>
      </c>
      <c r="F563" s="5" t="s">
        <v>1645</v>
      </c>
      <c r="G563" s="5" t="str">
        <f t="shared" si="159"/>
        <v>Not Available</v>
      </c>
      <c r="H563" s="5" t="s">
        <v>2112</v>
      </c>
      <c r="I563" s="5" t="s">
        <v>22</v>
      </c>
      <c r="J563" s="5" t="s">
        <v>3389</v>
      </c>
      <c r="K563" s="5" t="s">
        <v>3393</v>
      </c>
      <c r="L563" s="5" t="s">
        <v>23</v>
      </c>
      <c r="M563" s="5" t="s">
        <v>3400</v>
      </c>
      <c r="N563" s="5" t="s">
        <v>2113</v>
      </c>
      <c r="O563" s="5" t="s">
        <v>33</v>
      </c>
      <c r="P563" s="5" t="s">
        <v>26</v>
      </c>
      <c r="Q563" s="5" t="s">
        <v>34</v>
      </c>
      <c r="R563" s="5">
        <v>2199</v>
      </c>
      <c r="S563" s="5">
        <v>42.302104769506698</v>
      </c>
      <c r="T563" s="5">
        <v>-71.032435989999996</v>
      </c>
    </row>
    <row r="564" spans="1:20" x14ac:dyDescent="0.3">
      <c r="A564" s="5" t="s">
        <v>2114</v>
      </c>
      <c r="B564" s="6">
        <v>18382</v>
      </c>
      <c r="C564" s="6" t="str">
        <f t="shared" si="163"/>
        <v>Active/Unavailable</v>
      </c>
      <c r="D564" s="5" t="s">
        <v>18</v>
      </c>
      <c r="E564" s="5" t="s">
        <v>2115</v>
      </c>
      <c r="F564" s="5" t="s">
        <v>128</v>
      </c>
      <c r="G564" s="5" t="str">
        <f t="shared" si="159"/>
        <v>Not Available</v>
      </c>
      <c r="H564" s="5" t="s">
        <v>2116</v>
      </c>
      <c r="I564" s="5" t="s">
        <v>22</v>
      </c>
      <c r="J564" s="5" t="s">
        <v>3387</v>
      </c>
      <c r="K564" s="5" t="s">
        <v>3393</v>
      </c>
      <c r="L564" s="5" t="s">
        <v>23</v>
      </c>
      <c r="M564" s="5" t="s">
        <v>3514</v>
      </c>
      <c r="N564" s="5" t="s">
        <v>2117</v>
      </c>
      <c r="O564" s="5" t="s">
        <v>56</v>
      </c>
      <c r="P564" s="5" t="s">
        <v>26</v>
      </c>
      <c r="Q564" s="5" t="s">
        <v>57</v>
      </c>
      <c r="R564" s="5">
        <v>2142</v>
      </c>
      <c r="S564" s="5">
        <v>42.357579301424998</v>
      </c>
      <c r="T564" s="5">
        <v>-71.035135789999998</v>
      </c>
    </row>
    <row r="565" spans="1:20" x14ac:dyDescent="0.3">
      <c r="A565" s="5" t="s">
        <v>2118</v>
      </c>
      <c r="B565" s="6">
        <v>15034</v>
      </c>
      <c r="C565" s="6" t="str">
        <f t="shared" si="163"/>
        <v>Active/Unavailable</v>
      </c>
      <c r="D565" s="5" t="s">
        <v>29</v>
      </c>
      <c r="E565" s="5" t="s">
        <v>2119</v>
      </c>
      <c r="F565" s="5" t="s">
        <v>133</v>
      </c>
      <c r="G565" s="5" t="str">
        <f t="shared" ref="G565:G596" si="164">"Not Available"</f>
        <v>Not Available</v>
      </c>
      <c r="H565" s="5" t="str">
        <f>"Not Available"</f>
        <v>Not Available</v>
      </c>
      <c r="I565" s="5" t="s">
        <v>22</v>
      </c>
      <c r="J565" s="5" t="s">
        <v>3387</v>
      </c>
      <c r="K565" s="5" t="s">
        <v>3393</v>
      </c>
      <c r="L565" s="5" t="s">
        <v>22</v>
      </c>
      <c r="M565" s="5" t="s">
        <v>3438</v>
      </c>
      <c r="N565" s="5" t="s">
        <v>2120</v>
      </c>
      <c r="O565" s="5" t="s">
        <v>33</v>
      </c>
      <c r="P565" s="5" t="s">
        <v>26</v>
      </c>
      <c r="Q565" s="5" t="s">
        <v>34</v>
      </c>
      <c r="R565" s="5">
        <v>2116</v>
      </c>
      <c r="S565" s="5">
        <v>42.322535561296903</v>
      </c>
      <c r="T565" s="5">
        <v>-71.069818459999993</v>
      </c>
    </row>
    <row r="566" spans="1:20" x14ac:dyDescent="0.3">
      <c r="A566" s="5" t="s">
        <v>2121</v>
      </c>
      <c r="B566" s="6">
        <v>28329</v>
      </c>
      <c r="C566" s="6" t="str">
        <f t="shared" si="163"/>
        <v>Active/Unavailable</v>
      </c>
      <c r="D566" s="5" t="s">
        <v>18</v>
      </c>
      <c r="E566" s="5" t="s">
        <v>2122</v>
      </c>
      <c r="F566" s="5" t="s">
        <v>2123</v>
      </c>
      <c r="G566" s="5" t="str">
        <f t="shared" si="164"/>
        <v>Not Available</v>
      </c>
      <c r="H566" s="5" t="s">
        <v>1459</v>
      </c>
      <c r="I566" s="5" t="s">
        <v>22</v>
      </c>
      <c r="J566" s="5" t="s">
        <v>3388</v>
      </c>
      <c r="K566" s="5" t="s">
        <v>3393</v>
      </c>
      <c r="L566" s="5" t="s">
        <v>23</v>
      </c>
      <c r="M566" s="5" t="s">
        <v>3560</v>
      </c>
      <c r="N566" s="5" t="s">
        <v>2124</v>
      </c>
      <c r="O566" s="5" t="s">
        <v>33</v>
      </c>
      <c r="P566" s="5" t="s">
        <v>26</v>
      </c>
      <c r="Q566" s="5" t="s">
        <v>34</v>
      </c>
      <c r="R566" s="5">
        <v>2215</v>
      </c>
      <c r="S566" s="5">
        <v>42.272404387804698</v>
      </c>
      <c r="T566" s="5">
        <v>-70.993136250000006</v>
      </c>
    </row>
    <row r="567" spans="1:20" x14ac:dyDescent="0.3">
      <c r="A567" s="5" t="s">
        <v>2125</v>
      </c>
      <c r="B567" s="6">
        <v>15556</v>
      </c>
      <c r="C567" s="6">
        <v>44486</v>
      </c>
      <c r="D567" s="5" t="s">
        <v>18</v>
      </c>
      <c r="E567" s="5" t="s">
        <v>1142</v>
      </c>
      <c r="F567" s="5" t="s">
        <v>881</v>
      </c>
      <c r="G567" s="5" t="str">
        <f t="shared" si="164"/>
        <v>Not Available</v>
      </c>
      <c r="H567" s="5" t="s">
        <v>2126</v>
      </c>
      <c r="I567" s="5" t="s">
        <v>22</v>
      </c>
      <c r="J567" s="5" t="s">
        <v>3387</v>
      </c>
      <c r="K567" s="5" t="s">
        <v>3393</v>
      </c>
      <c r="L567" s="5" t="s">
        <v>23</v>
      </c>
      <c r="M567" s="5" t="s">
        <v>3407</v>
      </c>
      <c r="N567" s="5" t="s">
        <v>2127</v>
      </c>
      <c r="O567" s="5" t="s">
        <v>33</v>
      </c>
      <c r="P567" s="5" t="s">
        <v>26</v>
      </c>
      <c r="Q567" s="5" t="s">
        <v>34</v>
      </c>
      <c r="R567" s="5">
        <v>2113</v>
      </c>
      <c r="S567" s="5">
        <v>42.333474939853502</v>
      </c>
      <c r="T567" s="5">
        <v>-71.004093179999998</v>
      </c>
    </row>
    <row r="568" spans="1:20" x14ac:dyDescent="0.3">
      <c r="A568" s="5" t="s">
        <v>2128</v>
      </c>
      <c r="B568" s="6">
        <v>15556</v>
      </c>
      <c r="C568" s="6" t="str">
        <f t="shared" ref="C568:C570" si="165">"Active/Unavailable"</f>
        <v>Active/Unavailable</v>
      </c>
      <c r="D568" s="5" t="s">
        <v>18</v>
      </c>
      <c r="E568" s="5" t="s">
        <v>2129</v>
      </c>
      <c r="F568" s="5" t="s">
        <v>1165</v>
      </c>
      <c r="G568" s="5" t="str">
        <f t="shared" si="164"/>
        <v>Not Available</v>
      </c>
      <c r="H568" s="5" t="s">
        <v>1207</v>
      </c>
      <c r="I568" s="5" t="s">
        <v>22</v>
      </c>
      <c r="J568" s="5" t="s">
        <v>3387</v>
      </c>
      <c r="K568" s="5" t="s">
        <v>3393</v>
      </c>
      <c r="L568" s="5" t="s">
        <v>23</v>
      </c>
      <c r="M568" s="5" t="s">
        <v>3535</v>
      </c>
      <c r="N568" s="5" t="s">
        <v>2130</v>
      </c>
      <c r="O568" s="5" t="s">
        <v>33</v>
      </c>
      <c r="P568" s="5" t="s">
        <v>26</v>
      </c>
      <c r="Q568" s="5" t="s">
        <v>34</v>
      </c>
      <c r="R568" s="5">
        <v>2124</v>
      </c>
      <c r="S568" s="5">
        <v>42.282583941353202</v>
      </c>
      <c r="T568" s="5">
        <v>-71.044614440000004</v>
      </c>
    </row>
    <row r="569" spans="1:20" x14ac:dyDescent="0.3">
      <c r="A569" s="5" t="s">
        <v>2131</v>
      </c>
      <c r="B569" s="6">
        <v>9811</v>
      </c>
      <c r="C569" s="6" t="str">
        <f t="shared" si="165"/>
        <v>Active/Unavailable</v>
      </c>
      <c r="D569" s="5" t="s">
        <v>18</v>
      </c>
      <c r="E569" s="5" t="s">
        <v>2132</v>
      </c>
      <c r="F569" s="5" t="s">
        <v>714</v>
      </c>
      <c r="G569" s="5" t="str">
        <f t="shared" si="164"/>
        <v>Not Available</v>
      </c>
      <c r="H569" s="5" t="s">
        <v>2133</v>
      </c>
      <c r="I569" s="5" t="s">
        <v>22</v>
      </c>
      <c r="J569" s="5" t="s">
        <v>3387</v>
      </c>
      <c r="K569" s="5" t="s">
        <v>3393</v>
      </c>
      <c r="L569" s="5" t="s">
        <v>23</v>
      </c>
      <c r="M569" s="5" t="s">
        <v>3609</v>
      </c>
      <c r="N569" s="5" t="s">
        <v>2134</v>
      </c>
      <c r="O569" s="5" t="s">
        <v>574</v>
      </c>
      <c r="P569" s="5" t="s">
        <v>26</v>
      </c>
      <c r="Q569" s="5" t="s">
        <v>27</v>
      </c>
      <c r="R569" s="5">
        <v>2215</v>
      </c>
      <c r="S569" s="5">
        <v>42.3344261514506</v>
      </c>
      <c r="T569" s="5">
        <v>-71.092305049999993</v>
      </c>
    </row>
    <row r="570" spans="1:20" x14ac:dyDescent="0.3">
      <c r="A570" s="5" t="s">
        <v>2135</v>
      </c>
      <c r="B570" s="6">
        <v>18623</v>
      </c>
      <c r="C570" s="6" t="str">
        <f t="shared" si="165"/>
        <v>Active/Unavailable</v>
      </c>
      <c r="D570" s="5" t="s">
        <v>18</v>
      </c>
      <c r="E570" s="5" t="s">
        <v>2136</v>
      </c>
      <c r="F570" s="5" t="s">
        <v>3372</v>
      </c>
      <c r="G570" s="5" t="str">
        <f t="shared" si="164"/>
        <v>Not Available</v>
      </c>
      <c r="H570" s="5" t="s">
        <v>139</v>
      </c>
      <c r="I570" s="5" t="s">
        <v>22</v>
      </c>
      <c r="J570" s="5" t="s">
        <v>3389</v>
      </c>
      <c r="K570" s="5" t="s">
        <v>3393</v>
      </c>
      <c r="L570" s="5" t="s">
        <v>23</v>
      </c>
      <c r="M570" s="5" t="s">
        <v>3631</v>
      </c>
      <c r="N570" s="5" t="s">
        <v>2138</v>
      </c>
      <c r="O570" s="5" t="s">
        <v>486</v>
      </c>
      <c r="P570" s="5" t="s">
        <v>26</v>
      </c>
      <c r="Q570" s="5" t="s">
        <v>34</v>
      </c>
      <c r="R570" s="5" t="str">
        <f>"0000"</f>
        <v>0000</v>
      </c>
      <c r="S570" s="5">
        <v>42.384185118808801</v>
      </c>
      <c r="T570" s="5">
        <v>-70.995245260000004</v>
      </c>
    </row>
    <row r="571" spans="1:20" x14ac:dyDescent="0.3">
      <c r="A571" s="5" t="s">
        <v>2139</v>
      </c>
      <c r="B571" s="6">
        <v>15809</v>
      </c>
      <c r="C571" s="6">
        <v>43550</v>
      </c>
      <c r="D571" s="5" t="s">
        <v>29</v>
      </c>
      <c r="E571" s="5" t="s">
        <v>2140</v>
      </c>
      <c r="F571" s="5" t="s">
        <v>2141</v>
      </c>
      <c r="G571" s="5" t="str">
        <f t="shared" si="164"/>
        <v>Not Available</v>
      </c>
      <c r="H571" s="5" t="str">
        <f t="shared" ref="H571:H580" si="166">"Not Available"</f>
        <v>Not Available</v>
      </c>
      <c r="I571" s="5" t="s">
        <v>65</v>
      </c>
      <c r="J571" s="5" t="s">
        <v>3387</v>
      </c>
      <c r="K571" s="5" t="s">
        <v>3394</v>
      </c>
      <c r="L571" s="5" t="s">
        <v>22</v>
      </c>
      <c r="M571" s="5" t="s">
        <v>3408</v>
      </c>
      <c r="N571" s="5" t="s">
        <v>2142</v>
      </c>
      <c r="O571" s="5" t="s">
        <v>108</v>
      </c>
      <c r="P571" s="5" t="s">
        <v>26</v>
      </c>
      <c r="Q571" s="5" t="s">
        <v>34</v>
      </c>
      <c r="R571" s="5">
        <v>2151</v>
      </c>
      <c r="S571" s="5">
        <v>42.383990782353997</v>
      </c>
      <c r="T571" s="5">
        <v>-71.025037220000002</v>
      </c>
    </row>
    <row r="572" spans="1:20" x14ac:dyDescent="0.3">
      <c r="A572" s="5" t="s">
        <v>2143</v>
      </c>
      <c r="B572" s="6">
        <v>12699</v>
      </c>
      <c r="C572" s="6" t="str">
        <f t="shared" ref="C572:C574" si="167">"Active/Unavailable"</f>
        <v>Active/Unavailable</v>
      </c>
      <c r="D572" s="5" t="s">
        <v>29</v>
      </c>
      <c r="E572" s="5" t="s">
        <v>1109</v>
      </c>
      <c r="F572" s="5" t="s">
        <v>336</v>
      </c>
      <c r="G572" s="5" t="str">
        <f t="shared" si="164"/>
        <v>Not Available</v>
      </c>
      <c r="H572" s="5" t="str">
        <f t="shared" si="166"/>
        <v>Not Available</v>
      </c>
      <c r="I572" s="5" t="s">
        <v>22</v>
      </c>
      <c r="J572" s="5" t="s">
        <v>3389</v>
      </c>
      <c r="K572" s="5" t="s">
        <v>3393</v>
      </c>
      <c r="L572" s="5" t="s">
        <v>22</v>
      </c>
      <c r="M572" s="5" t="s">
        <v>3457</v>
      </c>
      <c r="N572" s="5" t="s">
        <v>2144</v>
      </c>
      <c r="O572" s="5" t="s">
        <v>145</v>
      </c>
      <c r="P572" s="5" t="s">
        <v>26</v>
      </c>
      <c r="Q572" s="5" t="s">
        <v>57</v>
      </c>
      <c r="R572" s="5">
        <v>2149</v>
      </c>
      <c r="S572" s="5">
        <v>42.379885554565902</v>
      </c>
      <c r="T572" s="5">
        <v>-71.084075960000007</v>
      </c>
    </row>
    <row r="573" spans="1:20" x14ac:dyDescent="0.3">
      <c r="A573" s="5" t="s">
        <v>2145</v>
      </c>
      <c r="B573" s="6">
        <v>9926</v>
      </c>
      <c r="C573" s="6" t="str">
        <f t="shared" si="167"/>
        <v>Active/Unavailable</v>
      </c>
      <c r="D573" s="5" t="s">
        <v>100</v>
      </c>
      <c r="E573" s="5" t="s">
        <v>2146</v>
      </c>
      <c r="F573" s="5" t="s">
        <v>2147</v>
      </c>
      <c r="G573" s="5" t="str">
        <f t="shared" si="164"/>
        <v>Not Available</v>
      </c>
      <c r="H573" s="5" t="str">
        <f t="shared" si="166"/>
        <v>Not Available</v>
      </c>
      <c r="I573" s="5" t="s">
        <v>65</v>
      </c>
      <c r="J573" s="5" t="s">
        <v>3387</v>
      </c>
      <c r="K573" s="5" t="s">
        <v>3393</v>
      </c>
      <c r="L573" s="5" t="s">
        <v>23</v>
      </c>
      <c r="M573" s="5" t="s">
        <v>3576</v>
      </c>
      <c r="N573" s="5" t="s">
        <v>2148</v>
      </c>
      <c r="O573" s="5" t="s">
        <v>486</v>
      </c>
      <c r="P573" s="5" t="s">
        <v>26</v>
      </c>
      <c r="Q573" s="5" t="s">
        <v>34</v>
      </c>
      <c r="R573" s="5">
        <v>2128</v>
      </c>
      <c r="S573" s="5">
        <v>42.322981808119799</v>
      </c>
      <c r="T573" s="5">
        <v>-70.958563690000005</v>
      </c>
    </row>
    <row r="574" spans="1:20" x14ac:dyDescent="0.3">
      <c r="A574" s="5" t="s">
        <v>2149</v>
      </c>
      <c r="B574" s="6">
        <v>31637</v>
      </c>
      <c r="C574" s="6" t="str">
        <f t="shared" si="167"/>
        <v>Active/Unavailable</v>
      </c>
      <c r="D574" s="5" t="s">
        <v>29</v>
      </c>
      <c r="E574" s="5" t="s">
        <v>2150</v>
      </c>
      <c r="F574" s="5" t="s">
        <v>1211</v>
      </c>
      <c r="G574" s="5" t="str">
        <f t="shared" si="164"/>
        <v>Not Available</v>
      </c>
      <c r="H574" s="5" t="str">
        <f t="shared" si="166"/>
        <v>Not Available</v>
      </c>
      <c r="I574" s="5" t="s">
        <v>22</v>
      </c>
      <c r="J574" s="5" t="s">
        <v>3389</v>
      </c>
      <c r="K574" s="5" t="s">
        <v>3393</v>
      </c>
      <c r="L574" s="5" t="s">
        <v>22</v>
      </c>
      <c r="M574" s="5" t="s">
        <v>3414</v>
      </c>
      <c r="N574" s="5" t="s">
        <v>2151</v>
      </c>
      <c r="O574" s="5" t="s">
        <v>108</v>
      </c>
      <c r="P574" s="5" t="s">
        <v>26</v>
      </c>
      <c r="Q574" s="5" t="s">
        <v>34</v>
      </c>
      <c r="R574" s="5">
        <v>2151</v>
      </c>
      <c r="S574" s="5">
        <v>42.390006467187902</v>
      </c>
      <c r="T574" s="5">
        <v>-71.004926380000001</v>
      </c>
    </row>
    <row r="575" spans="1:20" x14ac:dyDescent="0.3">
      <c r="A575" s="5" t="s">
        <v>2152</v>
      </c>
      <c r="B575" s="6">
        <v>12830</v>
      </c>
      <c r="C575" s="6">
        <v>42371</v>
      </c>
      <c r="D575" s="5" t="s">
        <v>29</v>
      </c>
      <c r="E575" s="5" t="s">
        <v>1132</v>
      </c>
      <c r="F575" s="5" t="s">
        <v>2153</v>
      </c>
      <c r="G575" s="5" t="str">
        <f t="shared" si="164"/>
        <v>Not Available</v>
      </c>
      <c r="H575" s="5" t="str">
        <f t="shared" si="166"/>
        <v>Not Available</v>
      </c>
      <c r="I575" s="5" t="s">
        <v>22</v>
      </c>
      <c r="J575" s="5" t="s">
        <v>3387</v>
      </c>
      <c r="K575" s="5" t="s">
        <v>3394</v>
      </c>
      <c r="L575" s="5" t="s">
        <v>22</v>
      </c>
      <c r="M575" s="5" t="s">
        <v>3632</v>
      </c>
      <c r="N575" s="5" t="s">
        <v>2154</v>
      </c>
      <c r="O575" s="5" t="s">
        <v>108</v>
      </c>
      <c r="P575" s="5" t="s">
        <v>26</v>
      </c>
      <c r="Q575" s="5" t="s">
        <v>34</v>
      </c>
      <c r="R575" s="5" t="str">
        <f t="shared" ref="R575:R576" si="168">"0000"</f>
        <v>0000</v>
      </c>
      <c r="S575" s="5">
        <v>42.399824425273998</v>
      </c>
      <c r="T575" s="5">
        <v>-71.000224009999997</v>
      </c>
    </row>
    <row r="576" spans="1:20" x14ac:dyDescent="0.3">
      <c r="A576" s="5" t="s">
        <v>2155</v>
      </c>
      <c r="B576" s="6">
        <v>12830</v>
      </c>
      <c r="C576" s="6" t="str">
        <f t="shared" ref="C576:C584" si="169">"Active/Unavailable"</f>
        <v>Active/Unavailable</v>
      </c>
      <c r="D576" s="5" t="s">
        <v>29</v>
      </c>
      <c r="E576" s="5" t="s">
        <v>2156</v>
      </c>
      <c r="F576" s="5" t="s">
        <v>2157</v>
      </c>
      <c r="G576" s="5" t="str">
        <f t="shared" si="164"/>
        <v>Not Available</v>
      </c>
      <c r="H576" s="5" t="str">
        <f t="shared" si="166"/>
        <v>Not Available</v>
      </c>
      <c r="I576" s="5" t="s">
        <v>22</v>
      </c>
      <c r="J576" s="5" t="s">
        <v>3387</v>
      </c>
      <c r="K576" s="5" t="s">
        <v>3394</v>
      </c>
      <c r="L576" s="5" t="s">
        <v>22</v>
      </c>
      <c r="M576" s="5" t="s">
        <v>3585</v>
      </c>
      <c r="N576" s="5" t="s">
        <v>2158</v>
      </c>
      <c r="O576" s="5" t="s">
        <v>108</v>
      </c>
      <c r="P576" s="5" t="s">
        <v>26</v>
      </c>
      <c r="Q576" s="5" t="s">
        <v>34</v>
      </c>
      <c r="R576" s="5" t="str">
        <f t="shared" si="168"/>
        <v>0000</v>
      </c>
      <c r="S576" s="5">
        <v>42.379046458605103</v>
      </c>
      <c r="T576" s="5">
        <v>-71.017539990000003</v>
      </c>
    </row>
    <row r="577" spans="1:20" x14ac:dyDescent="0.3">
      <c r="A577" s="5" t="s">
        <v>2159</v>
      </c>
      <c r="B577" s="6">
        <v>15290</v>
      </c>
      <c r="C577" s="6" t="str">
        <f t="shared" si="169"/>
        <v>Active/Unavailable</v>
      </c>
      <c r="D577" s="5" t="s">
        <v>29</v>
      </c>
      <c r="E577" s="5" t="s">
        <v>2160</v>
      </c>
      <c r="F577" s="5" t="s">
        <v>2161</v>
      </c>
      <c r="G577" s="5" t="str">
        <f t="shared" si="164"/>
        <v>Not Available</v>
      </c>
      <c r="H577" s="5" t="str">
        <f t="shared" si="166"/>
        <v>Not Available</v>
      </c>
      <c r="I577" s="5" t="s">
        <v>22</v>
      </c>
      <c r="J577" s="5" t="s">
        <v>3387</v>
      </c>
      <c r="K577" s="5" t="s">
        <v>3393</v>
      </c>
      <c r="L577" s="5" t="s">
        <v>22</v>
      </c>
      <c r="M577" s="5" t="s">
        <v>3424</v>
      </c>
      <c r="N577" s="5" t="s">
        <v>2162</v>
      </c>
      <c r="O577" s="5" t="s">
        <v>33</v>
      </c>
      <c r="P577" s="5" t="s">
        <v>26</v>
      </c>
      <c r="Q577" s="5" t="s">
        <v>34</v>
      </c>
      <c r="R577" s="5">
        <v>2134</v>
      </c>
      <c r="S577" s="5">
        <v>42.315070738183003</v>
      </c>
      <c r="T577" s="5">
        <v>-71.045187440000007</v>
      </c>
    </row>
    <row r="578" spans="1:20" x14ac:dyDescent="0.3">
      <c r="A578" s="5" t="s">
        <v>2163</v>
      </c>
      <c r="B578" s="6">
        <v>12404</v>
      </c>
      <c r="C578" s="6" t="str">
        <f t="shared" si="169"/>
        <v>Active/Unavailable</v>
      </c>
      <c r="D578" s="5" t="s">
        <v>29</v>
      </c>
      <c r="E578" s="5" t="s">
        <v>2164</v>
      </c>
      <c r="F578" s="5" t="s">
        <v>2165</v>
      </c>
      <c r="G578" s="5" t="str">
        <f t="shared" si="164"/>
        <v>Not Available</v>
      </c>
      <c r="H578" s="5" t="str">
        <f t="shared" si="166"/>
        <v>Not Available</v>
      </c>
      <c r="I578" s="5" t="s">
        <v>22</v>
      </c>
      <c r="J578" s="5" t="s">
        <v>3388</v>
      </c>
      <c r="K578" s="5" t="s">
        <v>3394</v>
      </c>
      <c r="L578" s="5" t="s">
        <v>22</v>
      </c>
      <c r="M578" s="5" t="s">
        <v>3441</v>
      </c>
      <c r="N578" s="5" t="s">
        <v>2166</v>
      </c>
      <c r="O578" s="5" t="s">
        <v>33</v>
      </c>
      <c r="P578" s="5" t="s">
        <v>26</v>
      </c>
      <c r="Q578" s="5" t="s">
        <v>34</v>
      </c>
      <c r="R578" s="5">
        <v>2210</v>
      </c>
      <c r="S578" s="5">
        <v>42.3705213</v>
      </c>
      <c r="T578" s="5">
        <v>-71.092550520000003</v>
      </c>
    </row>
    <row r="579" spans="1:20" x14ac:dyDescent="0.3">
      <c r="A579" s="5" t="s">
        <v>2167</v>
      </c>
      <c r="B579" s="6">
        <v>11672</v>
      </c>
      <c r="C579" s="6" t="str">
        <f t="shared" si="169"/>
        <v>Active/Unavailable</v>
      </c>
      <c r="D579" s="5" t="s">
        <v>29</v>
      </c>
      <c r="E579" s="5" t="s">
        <v>2168</v>
      </c>
      <c r="F579" s="5" t="s">
        <v>2169</v>
      </c>
      <c r="G579" s="5" t="str">
        <f t="shared" si="164"/>
        <v>Not Available</v>
      </c>
      <c r="H579" s="5" t="str">
        <f t="shared" si="166"/>
        <v>Not Available</v>
      </c>
      <c r="I579" s="5" t="s">
        <v>22</v>
      </c>
      <c r="J579" s="5" t="s">
        <v>3388</v>
      </c>
      <c r="K579" s="5" t="s">
        <v>3393</v>
      </c>
      <c r="L579" s="5" t="s">
        <v>22</v>
      </c>
      <c r="M579" s="5" t="s">
        <v>3513</v>
      </c>
      <c r="N579" s="5" t="s">
        <v>2170</v>
      </c>
      <c r="O579" s="5" t="s">
        <v>33</v>
      </c>
      <c r="P579" s="5" t="s">
        <v>26</v>
      </c>
      <c r="Q579" s="5" t="s">
        <v>34</v>
      </c>
      <c r="R579" s="5">
        <v>2124</v>
      </c>
      <c r="S579" s="5">
        <v>42.376077790760696</v>
      </c>
      <c r="T579" s="5">
        <v>-71.055550089999997</v>
      </c>
    </row>
    <row r="580" spans="1:20" x14ac:dyDescent="0.3">
      <c r="A580" s="5" t="s">
        <v>2171</v>
      </c>
      <c r="B580" s="6">
        <v>24084</v>
      </c>
      <c r="C580" s="6" t="str">
        <f t="shared" si="169"/>
        <v>Active/Unavailable</v>
      </c>
      <c r="D580" s="5" t="s">
        <v>29</v>
      </c>
      <c r="E580" s="5" t="s">
        <v>2172</v>
      </c>
      <c r="F580" s="5" t="s">
        <v>2112</v>
      </c>
      <c r="G580" s="5" t="str">
        <f t="shared" si="164"/>
        <v>Not Available</v>
      </c>
      <c r="H580" s="5" t="str">
        <f t="shared" si="166"/>
        <v>Not Available</v>
      </c>
      <c r="I580" s="5" t="s">
        <v>22</v>
      </c>
      <c r="J580" s="5" t="s">
        <v>3387</v>
      </c>
      <c r="K580" s="5" t="s">
        <v>3393</v>
      </c>
      <c r="L580" s="5" t="s">
        <v>22</v>
      </c>
      <c r="M580" s="5" t="s">
        <v>3532</v>
      </c>
      <c r="N580" s="5" t="s">
        <v>2173</v>
      </c>
      <c r="O580" s="5" t="s">
        <v>108</v>
      </c>
      <c r="P580" s="5" t="s">
        <v>26</v>
      </c>
      <c r="Q580" s="5" t="s">
        <v>34</v>
      </c>
      <c r="R580" s="5">
        <v>2151</v>
      </c>
      <c r="S580" s="5">
        <v>42.411395956580698</v>
      </c>
      <c r="T580" s="5">
        <v>-70.951710050000003</v>
      </c>
    </row>
    <row r="581" spans="1:20" x14ac:dyDescent="0.3">
      <c r="A581" s="5" t="s">
        <v>2174</v>
      </c>
      <c r="B581" s="6">
        <v>12970</v>
      </c>
      <c r="C581" s="6" t="str">
        <f t="shared" si="169"/>
        <v>Active/Unavailable</v>
      </c>
      <c r="D581" s="5" t="s">
        <v>18</v>
      </c>
      <c r="E581" s="5" t="s">
        <v>1983</v>
      </c>
      <c r="F581" s="5" t="s">
        <v>2175</v>
      </c>
      <c r="G581" s="5" t="str">
        <f t="shared" si="164"/>
        <v>Not Available</v>
      </c>
      <c r="H581" s="5" t="s">
        <v>1403</v>
      </c>
      <c r="I581" s="5" t="s">
        <v>22</v>
      </c>
      <c r="J581" s="5" t="s">
        <v>3391</v>
      </c>
      <c r="K581" s="5" t="s">
        <v>3394</v>
      </c>
      <c r="L581" s="5" t="s">
        <v>23</v>
      </c>
      <c r="M581" s="5" t="s">
        <v>3434</v>
      </c>
      <c r="N581" s="5" t="s">
        <v>2176</v>
      </c>
      <c r="O581" s="5" t="s">
        <v>33</v>
      </c>
      <c r="P581" s="5" t="s">
        <v>26</v>
      </c>
      <c r="Q581" s="5" t="s">
        <v>34</v>
      </c>
      <c r="R581" s="5">
        <v>2125</v>
      </c>
      <c r="S581" s="5">
        <v>42.386222707748601</v>
      </c>
      <c r="T581" s="5">
        <v>-71.013351099999994</v>
      </c>
    </row>
    <row r="582" spans="1:20" x14ac:dyDescent="0.3">
      <c r="A582" s="5" t="s">
        <v>2177</v>
      </c>
      <c r="B582" s="6">
        <v>22437</v>
      </c>
      <c r="C582" s="6" t="str">
        <f t="shared" si="169"/>
        <v>Active/Unavailable</v>
      </c>
      <c r="D582" s="5" t="s">
        <v>100</v>
      </c>
      <c r="E582" s="5" t="s">
        <v>2178</v>
      </c>
      <c r="F582" s="5" t="s">
        <v>2179</v>
      </c>
      <c r="G582" s="5" t="str">
        <f t="shared" si="164"/>
        <v>Not Available</v>
      </c>
      <c r="H582" s="5" t="str">
        <f>"Not Available"</f>
        <v>Not Available</v>
      </c>
      <c r="I582" s="5" t="s">
        <v>65</v>
      </c>
      <c r="J582" s="5" t="s">
        <v>3387</v>
      </c>
      <c r="K582" s="5" t="s">
        <v>3393</v>
      </c>
      <c r="L582" s="5" t="s">
        <v>23</v>
      </c>
      <c r="M582" s="5" t="s">
        <v>3502</v>
      </c>
      <c r="N582" s="5" t="s">
        <v>2180</v>
      </c>
      <c r="O582" s="5" t="s">
        <v>316</v>
      </c>
      <c r="P582" s="5" t="s">
        <v>26</v>
      </c>
      <c r="Q582" s="5" t="s">
        <v>317</v>
      </c>
      <c r="R582" s="5">
        <v>2043</v>
      </c>
      <c r="S582" s="5">
        <v>42.265857981860698</v>
      </c>
      <c r="T582" s="5">
        <v>-70.855504260000004</v>
      </c>
    </row>
    <row r="583" spans="1:20" x14ac:dyDescent="0.3">
      <c r="A583" s="5" t="s">
        <v>2181</v>
      </c>
      <c r="B583" s="6">
        <v>16346</v>
      </c>
      <c r="C583" s="6" t="str">
        <f t="shared" si="169"/>
        <v>Active/Unavailable</v>
      </c>
      <c r="D583" s="5" t="s">
        <v>18</v>
      </c>
      <c r="E583" s="5" t="s">
        <v>2182</v>
      </c>
      <c r="F583" s="5" t="s">
        <v>1153</v>
      </c>
      <c r="G583" s="5" t="str">
        <f t="shared" si="164"/>
        <v>Not Available</v>
      </c>
      <c r="H583" s="5" t="s">
        <v>148</v>
      </c>
      <c r="I583" s="5" t="s">
        <v>22</v>
      </c>
      <c r="J583" s="5" t="s">
        <v>3387</v>
      </c>
      <c r="K583" s="5" t="s">
        <v>3393</v>
      </c>
      <c r="L583" s="5" t="s">
        <v>23</v>
      </c>
      <c r="M583" s="5" t="s">
        <v>3633</v>
      </c>
      <c r="N583" s="5" t="s">
        <v>2183</v>
      </c>
      <c r="O583" s="5" t="s">
        <v>33</v>
      </c>
      <c r="P583" s="5" t="s">
        <v>26</v>
      </c>
      <c r="Q583" s="5" t="s">
        <v>34</v>
      </c>
      <c r="R583" s="5">
        <v>2132</v>
      </c>
      <c r="S583" s="5">
        <v>42.3225713058888</v>
      </c>
      <c r="T583" s="5">
        <v>-71.133591530000004</v>
      </c>
    </row>
    <row r="584" spans="1:20" x14ac:dyDescent="0.3">
      <c r="A584" s="5" t="s">
        <v>2184</v>
      </c>
      <c r="B584" s="6">
        <v>8929</v>
      </c>
      <c r="C584" s="6" t="str">
        <f t="shared" si="169"/>
        <v>Active/Unavailable</v>
      </c>
      <c r="D584" s="5" t="s">
        <v>29</v>
      </c>
      <c r="E584" s="5" t="s">
        <v>2185</v>
      </c>
      <c r="F584" s="5" t="s">
        <v>497</v>
      </c>
      <c r="G584" s="5" t="str">
        <f t="shared" si="164"/>
        <v>Not Available</v>
      </c>
      <c r="H584" s="5" t="str">
        <f>"Not Available"</f>
        <v>Not Available</v>
      </c>
      <c r="I584" s="5" t="s">
        <v>22</v>
      </c>
      <c r="J584" s="5" t="s">
        <v>3387</v>
      </c>
      <c r="K584" s="5" t="s">
        <v>3393</v>
      </c>
      <c r="L584" s="5" t="s">
        <v>22</v>
      </c>
      <c r="M584" s="5" t="s">
        <v>3634</v>
      </c>
      <c r="N584" s="5" t="s">
        <v>2186</v>
      </c>
      <c r="O584" s="5" t="s">
        <v>1706</v>
      </c>
      <c r="P584" s="5" t="s">
        <v>26</v>
      </c>
      <c r="Q584" s="5" t="s">
        <v>57</v>
      </c>
      <c r="R584" s="5">
        <v>1867</v>
      </c>
      <c r="S584" s="5">
        <v>42.476954864449503</v>
      </c>
      <c r="T584" s="5">
        <v>-71.127024910000003</v>
      </c>
    </row>
    <row r="585" spans="1:20" x14ac:dyDescent="0.3">
      <c r="A585" s="5" t="s">
        <v>2187</v>
      </c>
      <c r="B585" s="6">
        <v>8677</v>
      </c>
      <c r="C585" s="6">
        <v>42400</v>
      </c>
      <c r="D585" s="5" t="s">
        <v>18</v>
      </c>
      <c r="E585" s="5" t="s">
        <v>2188</v>
      </c>
      <c r="F585" s="5" t="s">
        <v>1352</v>
      </c>
      <c r="G585" s="5" t="str">
        <f t="shared" si="164"/>
        <v>Not Available</v>
      </c>
      <c r="H585" s="5" t="s">
        <v>1207</v>
      </c>
      <c r="I585" s="5" t="s">
        <v>22</v>
      </c>
      <c r="J585" s="5" t="s">
        <v>3387</v>
      </c>
      <c r="K585" s="5" t="s">
        <v>3393</v>
      </c>
      <c r="L585" s="5" t="s">
        <v>23</v>
      </c>
      <c r="M585" s="5" t="s">
        <v>3635</v>
      </c>
      <c r="N585" s="5" t="s">
        <v>2189</v>
      </c>
      <c r="O585" s="5" t="s">
        <v>807</v>
      </c>
      <c r="P585" s="5" t="s">
        <v>26</v>
      </c>
      <c r="Q585" s="5" t="s">
        <v>317</v>
      </c>
      <c r="R585" s="5">
        <v>2066</v>
      </c>
      <c r="S585" s="5">
        <v>42.230071816402301</v>
      </c>
      <c r="T585" s="5">
        <v>-70.752396469999994</v>
      </c>
    </row>
    <row r="586" spans="1:20" x14ac:dyDescent="0.3">
      <c r="A586" s="5" t="s">
        <v>2190</v>
      </c>
      <c r="B586" s="6">
        <v>9996</v>
      </c>
      <c r="C586" s="6">
        <v>42664</v>
      </c>
      <c r="D586" s="5" t="s">
        <v>29</v>
      </c>
      <c r="E586" s="5" t="s">
        <v>974</v>
      </c>
      <c r="F586" s="5" t="s">
        <v>2191</v>
      </c>
      <c r="G586" s="5" t="str">
        <f t="shared" si="164"/>
        <v>Not Available</v>
      </c>
      <c r="H586" s="5" t="str">
        <f t="shared" ref="H586:H587" si="170">"Not Available"</f>
        <v>Not Available</v>
      </c>
      <c r="I586" s="5" t="s">
        <v>65</v>
      </c>
      <c r="J586" s="5" t="s">
        <v>3387</v>
      </c>
      <c r="K586" s="5" t="s">
        <v>3394</v>
      </c>
      <c r="L586" s="5" t="s">
        <v>22</v>
      </c>
      <c r="M586" s="5" t="s">
        <v>3479</v>
      </c>
      <c r="N586" s="5" t="s">
        <v>2192</v>
      </c>
      <c r="O586" s="5" t="s">
        <v>33</v>
      </c>
      <c r="P586" s="5" t="s">
        <v>26</v>
      </c>
      <c r="Q586" s="5" t="s">
        <v>34</v>
      </c>
      <c r="R586" s="5">
        <v>2121</v>
      </c>
      <c r="S586" s="5">
        <v>42.363330562767601</v>
      </c>
      <c r="T586" s="5">
        <v>-71.076991910000004</v>
      </c>
    </row>
    <row r="587" spans="1:20" x14ac:dyDescent="0.3">
      <c r="A587" s="5" t="s">
        <v>2193</v>
      </c>
      <c r="B587" s="6">
        <v>9354</v>
      </c>
      <c r="C587" s="6" t="str">
        <f>"Active/Unavailable"</f>
        <v>Active/Unavailable</v>
      </c>
      <c r="D587" s="5" t="s">
        <v>29</v>
      </c>
      <c r="E587" s="5" t="s">
        <v>2194</v>
      </c>
      <c r="F587" s="5" t="s">
        <v>669</v>
      </c>
      <c r="G587" s="5" t="str">
        <f t="shared" si="164"/>
        <v>Not Available</v>
      </c>
      <c r="H587" s="5" t="str">
        <f t="shared" si="170"/>
        <v>Not Available</v>
      </c>
      <c r="I587" s="5" t="s">
        <v>22</v>
      </c>
      <c r="J587" s="5" t="s">
        <v>3387</v>
      </c>
      <c r="K587" s="5" t="s">
        <v>3393</v>
      </c>
      <c r="L587" s="5" t="s">
        <v>22</v>
      </c>
      <c r="M587" s="5" t="s">
        <v>3522</v>
      </c>
      <c r="N587" s="5" t="s">
        <v>2195</v>
      </c>
      <c r="O587" s="5" t="s">
        <v>845</v>
      </c>
      <c r="P587" s="5" t="s">
        <v>26</v>
      </c>
      <c r="Q587" s="5" t="s">
        <v>57</v>
      </c>
      <c r="R587" s="5">
        <v>2148</v>
      </c>
      <c r="S587" s="5">
        <v>42.446131000402801</v>
      </c>
      <c r="T587" s="5">
        <v>-71.130654100000001</v>
      </c>
    </row>
    <row r="588" spans="1:20" x14ac:dyDescent="0.3">
      <c r="A588" s="5" t="s">
        <v>2196</v>
      </c>
      <c r="B588" s="6">
        <v>11944</v>
      </c>
      <c r="C588" s="6">
        <v>43744</v>
      </c>
      <c r="D588" s="5" t="s">
        <v>18</v>
      </c>
      <c r="E588" s="5" t="s">
        <v>2197</v>
      </c>
      <c r="F588" s="5" t="s">
        <v>1801</v>
      </c>
      <c r="G588" s="5" t="str">
        <f t="shared" si="164"/>
        <v>Not Available</v>
      </c>
      <c r="H588" s="5" t="s">
        <v>1498</v>
      </c>
      <c r="I588" s="5" t="s">
        <v>22</v>
      </c>
      <c r="J588" s="5" t="s">
        <v>3387</v>
      </c>
      <c r="K588" s="5" t="s">
        <v>3394</v>
      </c>
      <c r="L588" s="5" t="s">
        <v>23</v>
      </c>
      <c r="M588" s="5" t="s">
        <v>3636</v>
      </c>
      <c r="N588" s="5" t="s">
        <v>2198</v>
      </c>
      <c r="O588" s="5" t="s">
        <v>33</v>
      </c>
      <c r="P588" s="5" t="s">
        <v>26</v>
      </c>
      <c r="Q588" s="5" t="s">
        <v>34</v>
      </c>
      <c r="R588" s="5">
        <v>2199</v>
      </c>
      <c r="S588" s="5">
        <v>42.383235983211101</v>
      </c>
      <c r="T588" s="5">
        <v>-71.015737169999994</v>
      </c>
    </row>
    <row r="589" spans="1:20" x14ac:dyDescent="0.3">
      <c r="A589" s="5" t="s">
        <v>2199</v>
      </c>
      <c r="B589" s="6">
        <v>11944</v>
      </c>
      <c r="C589" s="6" t="str">
        <f t="shared" ref="C589:C601" si="171">"Active/Unavailable"</f>
        <v>Active/Unavailable</v>
      </c>
      <c r="D589" s="5" t="s">
        <v>18</v>
      </c>
      <c r="E589" s="5" t="s">
        <v>2200</v>
      </c>
      <c r="F589" s="5" t="s">
        <v>2141</v>
      </c>
      <c r="G589" s="5" t="str">
        <f t="shared" si="164"/>
        <v>Not Available</v>
      </c>
      <c r="H589" s="5" t="s">
        <v>1460</v>
      </c>
      <c r="I589" s="5" t="s">
        <v>22</v>
      </c>
      <c r="J589" s="5" t="s">
        <v>3387</v>
      </c>
      <c r="K589" s="5" t="s">
        <v>3394</v>
      </c>
      <c r="L589" s="5" t="s">
        <v>23</v>
      </c>
      <c r="M589" s="5" t="s">
        <v>3396</v>
      </c>
      <c r="N589" s="5" t="s">
        <v>2201</v>
      </c>
      <c r="O589" s="5" t="s">
        <v>33</v>
      </c>
      <c r="P589" s="5" t="s">
        <v>26</v>
      </c>
      <c r="Q589" s="5" t="s">
        <v>34</v>
      </c>
      <c r="R589" s="5">
        <v>2210</v>
      </c>
      <c r="S589" s="5">
        <v>42.327865230392597</v>
      </c>
      <c r="T589" s="5">
        <v>-70.959957099999997</v>
      </c>
    </row>
    <row r="590" spans="1:20" x14ac:dyDescent="0.3">
      <c r="A590" s="5" t="s">
        <v>2202</v>
      </c>
      <c r="B590" s="6">
        <v>28706</v>
      </c>
      <c r="C590" s="6" t="str">
        <f t="shared" si="171"/>
        <v>Active/Unavailable</v>
      </c>
      <c r="D590" s="5" t="s">
        <v>18</v>
      </c>
      <c r="E590" s="5" t="s">
        <v>1768</v>
      </c>
      <c r="F590" s="5" t="s">
        <v>300</v>
      </c>
      <c r="G590" s="5" t="str">
        <f t="shared" si="164"/>
        <v>Not Available</v>
      </c>
      <c r="H590" s="5" t="s">
        <v>2203</v>
      </c>
      <c r="I590" s="5" t="s">
        <v>22</v>
      </c>
      <c r="J590" s="5" t="s">
        <v>3387</v>
      </c>
      <c r="K590" s="5" t="s">
        <v>3394</v>
      </c>
      <c r="L590" s="5" t="s">
        <v>23</v>
      </c>
      <c r="M590" s="5" t="s">
        <v>3637</v>
      </c>
      <c r="N590" s="5" t="s">
        <v>2204</v>
      </c>
      <c r="O590" s="5" t="s">
        <v>33</v>
      </c>
      <c r="P590" s="5" t="s">
        <v>26</v>
      </c>
      <c r="Q590" s="5" t="s">
        <v>34</v>
      </c>
      <c r="R590" s="5">
        <v>2152</v>
      </c>
      <c r="S590" s="5">
        <v>42.361439237849702</v>
      </c>
      <c r="T590" s="5">
        <v>-71.085663330000003</v>
      </c>
    </row>
    <row r="591" spans="1:20" x14ac:dyDescent="0.3">
      <c r="A591" s="5" t="s">
        <v>2205</v>
      </c>
      <c r="B591" s="6">
        <v>25963</v>
      </c>
      <c r="C591" s="6" t="str">
        <f t="shared" si="171"/>
        <v>Active/Unavailable</v>
      </c>
      <c r="D591" s="5" t="s">
        <v>29</v>
      </c>
      <c r="E591" s="5" t="s">
        <v>2206</v>
      </c>
      <c r="F591" s="5" t="s">
        <v>718</v>
      </c>
      <c r="G591" s="5" t="str">
        <f t="shared" si="164"/>
        <v>Not Available</v>
      </c>
      <c r="H591" s="5" t="str">
        <f>"Not Available"</f>
        <v>Not Available</v>
      </c>
      <c r="I591" s="5" t="s">
        <v>65</v>
      </c>
      <c r="J591" s="5" t="s">
        <v>3389</v>
      </c>
      <c r="K591" s="5" t="s">
        <v>3393</v>
      </c>
      <c r="L591" s="5" t="s">
        <v>22</v>
      </c>
      <c r="M591" s="5" t="s">
        <v>3435</v>
      </c>
      <c r="N591" s="5" t="s">
        <v>2207</v>
      </c>
      <c r="O591" s="5" t="s">
        <v>33</v>
      </c>
      <c r="P591" s="5" t="s">
        <v>26</v>
      </c>
      <c r="Q591" s="5" t="s">
        <v>34</v>
      </c>
      <c r="R591" s="5">
        <v>2119</v>
      </c>
      <c r="S591" s="5">
        <v>42.3493455757908</v>
      </c>
      <c r="T591" s="5">
        <v>-71.014474730000003</v>
      </c>
    </row>
    <row r="592" spans="1:20" x14ac:dyDescent="0.3">
      <c r="A592" s="5" t="s">
        <v>2208</v>
      </c>
      <c r="B592" s="6">
        <v>28649</v>
      </c>
      <c r="C592" s="6" t="str">
        <f t="shared" si="171"/>
        <v>Active/Unavailable</v>
      </c>
      <c r="D592" s="5" t="s">
        <v>18</v>
      </c>
      <c r="E592" s="5" t="s">
        <v>2209</v>
      </c>
      <c r="F592" s="5" t="s">
        <v>2210</v>
      </c>
      <c r="G592" s="5" t="str">
        <f t="shared" si="164"/>
        <v>Not Available</v>
      </c>
      <c r="H592" s="5" t="s">
        <v>567</v>
      </c>
      <c r="I592" s="5" t="s">
        <v>22</v>
      </c>
      <c r="J592" s="5" t="s">
        <v>3389</v>
      </c>
      <c r="K592" s="5" t="s">
        <v>3393</v>
      </c>
      <c r="L592" s="5" t="s">
        <v>23</v>
      </c>
      <c r="M592" s="5" t="s">
        <v>3400</v>
      </c>
      <c r="N592" s="5" t="s">
        <v>2211</v>
      </c>
      <c r="O592" s="5" t="s">
        <v>33</v>
      </c>
      <c r="P592" s="5" t="s">
        <v>26</v>
      </c>
      <c r="Q592" s="5" t="s">
        <v>34</v>
      </c>
      <c r="R592" s="5">
        <v>2119</v>
      </c>
      <c r="S592" s="5">
        <v>42.358541766408898</v>
      </c>
      <c r="T592" s="5">
        <v>-71.086230729999997</v>
      </c>
    </row>
    <row r="593" spans="1:20" x14ac:dyDescent="0.3">
      <c r="A593" s="5" t="s">
        <v>2212</v>
      </c>
      <c r="B593" s="6">
        <v>33337</v>
      </c>
      <c r="C593" s="6" t="str">
        <f t="shared" si="171"/>
        <v>Active/Unavailable</v>
      </c>
      <c r="D593" s="5" t="s">
        <v>18</v>
      </c>
      <c r="E593" s="5" t="s">
        <v>2200</v>
      </c>
      <c r="F593" s="5" t="s">
        <v>2213</v>
      </c>
      <c r="G593" s="5" t="str">
        <f t="shared" si="164"/>
        <v>Not Available</v>
      </c>
      <c r="H593" s="5" t="s">
        <v>837</v>
      </c>
      <c r="I593" s="5" t="s">
        <v>22</v>
      </c>
      <c r="J593" s="5" t="s">
        <v>3387</v>
      </c>
      <c r="K593" s="5" t="s">
        <v>3393</v>
      </c>
      <c r="L593" s="5" t="s">
        <v>23</v>
      </c>
      <c r="M593" s="5" t="s">
        <v>3415</v>
      </c>
      <c r="N593" s="5" t="s">
        <v>2214</v>
      </c>
      <c r="O593" s="5" t="s">
        <v>108</v>
      </c>
      <c r="P593" s="5" t="s">
        <v>26</v>
      </c>
      <c r="Q593" s="5" t="s">
        <v>34</v>
      </c>
      <c r="R593" s="5">
        <v>2151</v>
      </c>
      <c r="S593" s="5">
        <v>42.392111041717399</v>
      </c>
      <c r="T593" s="5">
        <v>-70.976683850000001</v>
      </c>
    </row>
    <row r="594" spans="1:20" x14ac:dyDescent="0.3">
      <c r="A594" s="5" t="s">
        <v>2215</v>
      </c>
      <c r="B594" s="6">
        <v>9788</v>
      </c>
      <c r="C594" s="6" t="str">
        <f t="shared" si="171"/>
        <v>Active/Unavailable</v>
      </c>
      <c r="D594" s="5" t="s">
        <v>100</v>
      </c>
      <c r="E594" s="5" t="s">
        <v>2216</v>
      </c>
      <c r="F594" s="5" t="s">
        <v>2217</v>
      </c>
      <c r="G594" s="5" t="str">
        <f t="shared" si="164"/>
        <v>Not Available</v>
      </c>
      <c r="H594" s="5" t="str">
        <f t="shared" ref="H594:H600" si="172">"Not Available"</f>
        <v>Not Available</v>
      </c>
      <c r="I594" s="5" t="s">
        <v>65</v>
      </c>
      <c r="J594" s="5" t="s">
        <v>3387</v>
      </c>
      <c r="K594" s="5" t="s">
        <v>3393</v>
      </c>
      <c r="L594" s="5" t="s">
        <v>23</v>
      </c>
      <c r="M594" s="5" t="s">
        <v>3638</v>
      </c>
      <c r="N594" s="5" t="s">
        <v>2218</v>
      </c>
      <c r="O594" s="5" t="s">
        <v>88</v>
      </c>
      <c r="P594" s="5" t="s">
        <v>26</v>
      </c>
      <c r="Q594" s="5" t="s">
        <v>57</v>
      </c>
      <c r="R594" s="5">
        <v>2143</v>
      </c>
      <c r="S594" s="5">
        <v>42.399536920632897</v>
      </c>
      <c r="T594" s="5">
        <v>-71.104558190000006</v>
      </c>
    </row>
    <row r="595" spans="1:20" x14ac:dyDescent="0.3">
      <c r="A595" s="5" t="s">
        <v>2219</v>
      </c>
      <c r="B595" s="6">
        <v>23451</v>
      </c>
      <c r="C595" s="6" t="str">
        <f t="shared" si="171"/>
        <v>Active/Unavailable</v>
      </c>
      <c r="D595" s="5" t="s">
        <v>29</v>
      </c>
      <c r="E595" s="5" t="s">
        <v>2220</v>
      </c>
      <c r="F595" s="5" t="s">
        <v>1026</v>
      </c>
      <c r="G595" s="5" t="str">
        <f t="shared" si="164"/>
        <v>Not Available</v>
      </c>
      <c r="H595" s="5" t="str">
        <f t="shared" si="172"/>
        <v>Not Available</v>
      </c>
      <c r="I595" s="5" t="s">
        <v>22</v>
      </c>
      <c r="J595" s="5" t="s">
        <v>3389</v>
      </c>
      <c r="K595" s="5" t="s">
        <v>3393</v>
      </c>
      <c r="L595" s="5" t="s">
        <v>22</v>
      </c>
      <c r="M595" s="5" t="s">
        <v>3553</v>
      </c>
      <c r="N595" s="5" t="s">
        <v>2221</v>
      </c>
      <c r="O595" s="5" t="s">
        <v>33</v>
      </c>
      <c r="P595" s="5" t="s">
        <v>26</v>
      </c>
      <c r="Q595" s="5" t="s">
        <v>34</v>
      </c>
      <c r="R595" s="5" t="str">
        <f>"0000"</f>
        <v>0000</v>
      </c>
      <c r="S595" s="5">
        <v>42.350032260441502</v>
      </c>
      <c r="T595" s="5">
        <v>-70.973260280000005</v>
      </c>
    </row>
    <row r="596" spans="1:20" x14ac:dyDescent="0.3">
      <c r="A596" s="5" t="s">
        <v>2222</v>
      </c>
      <c r="B596" s="6">
        <v>27898</v>
      </c>
      <c r="C596" s="6" t="str">
        <f t="shared" si="171"/>
        <v>Active/Unavailable</v>
      </c>
      <c r="D596" s="5" t="s">
        <v>29</v>
      </c>
      <c r="E596" s="5" t="s">
        <v>2223</v>
      </c>
      <c r="F596" s="5" t="s">
        <v>272</v>
      </c>
      <c r="G596" s="5" t="str">
        <f t="shared" si="164"/>
        <v>Not Available</v>
      </c>
      <c r="H596" s="5" t="str">
        <f t="shared" si="172"/>
        <v>Not Available</v>
      </c>
      <c r="I596" s="5" t="s">
        <v>22</v>
      </c>
      <c r="J596" s="5" t="s">
        <v>3387</v>
      </c>
      <c r="K596" s="5" t="s">
        <v>3393</v>
      </c>
      <c r="L596" s="5" t="s">
        <v>22</v>
      </c>
      <c r="M596" s="5" t="s">
        <v>3400</v>
      </c>
      <c r="N596" s="5" t="s">
        <v>2224</v>
      </c>
      <c r="O596" s="5" t="s">
        <v>25</v>
      </c>
      <c r="P596" s="5" t="s">
        <v>26</v>
      </c>
      <c r="Q596" s="5" t="s">
        <v>27</v>
      </c>
      <c r="R596" s="5">
        <v>2186</v>
      </c>
      <c r="S596" s="5">
        <v>42.276172947965001</v>
      </c>
      <c r="T596" s="5">
        <v>-70.983888820000004</v>
      </c>
    </row>
    <row r="597" spans="1:20" x14ac:dyDescent="0.3">
      <c r="A597" s="5" t="s">
        <v>2225</v>
      </c>
      <c r="B597" s="6">
        <v>23139</v>
      </c>
      <c r="C597" s="6" t="str">
        <f t="shared" si="171"/>
        <v>Active/Unavailable</v>
      </c>
      <c r="D597" s="5" t="s">
        <v>29</v>
      </c>
      <c r="E597" s="5" t="s">
        <v>2226</v>
      </c>
      <c r="F597" s="5" t="s">
        <v>134</v>
      </c>
      <c r="G597" s="5" t="str">
        <f t="shared" ref="G597:G603" si="173">"Not Available"</f>
        <v>Not Available</v>
      </c>
      <c r="H597" s="5" t="str">
        <f t="shared" si="172"/>
        <v>Not Available</v>
      </c>
      <c r="I597" s="5" t="s">
        <v>22</v>
      </c>
      <c r="J597" s="5" t="s">
        <v>3387</v>
      </c>
      <c r="K597" s="5" t="s">
        <v>3393</v>
      </c>
      <c r="L597" s="5" t="s">
        <v>22</v>
      </c>
      <c r="M597" s="5" t="s">
        <v>3402</v>
      </c>
      <c r="N597" s="5" t="s">
        <v>2227</v>
      </c>
      <c r="O597" s="5" t="s">
        <v>807</v>
      </c>
      <c r="P597" s="5" t="s">
        <v>26</v>
      </c>
      <c r="Q597" s="5" t="s">
        <v>317</v>
      </c>
      <c r="R597" s="5" t="str">
        <f>"0000"</f>
        <v>0000</v>
      </c>
      <c r="S597" s="5">
        <v>42.231024922224698</v>
      </c>
      <c r="T597" s="5">
        <v>-70.77803514</v>
      </c>
    </row>
    <row r="598" spans="1:20" x14ac:dyDescent="0.3">
      <c r="A598" s="5" t="s">
        <v>2228</v>
      </c>
      <c r="B598" s="6">
        <v>15580</v>
      </c>
      <c r="C598" s="6" t="str">
        <f t="shared" si="171"/>
        <v>Active/Unavailable</v>
      </c>
      <c r="D598" s="5" t="s">
        <v>29</v>
      </c>
      <c r="E598" s="5" t="s">
        <v>2229</v>
      </c>
      <c r="F598" s="5" t="s">
        <v>1147</v>
      </c>
      <c r="G598" s="5" t="str">
        <f t="shared" si="173"/>
        <v>Not Available</v>
      </c>
      <c r="H598" s="5" t="str">
        <f t="shared" si="172"/>
        <v>Not Available</v>
      </c>
      <c r="I598" s="5" t="s">
        <v>22</v>
      </c>
      <c r="J598" s="5" t="s">
        <v>3391</v>
      </c>
      <c r="K598" s="5" t="s">
        <v>3393</v>
      </c>
      <c r="L598" s="5" t="s">
        <v>22</v>
      </c>
      <c r="M598" s="5" t="s">
        <v>3599</v>
      </c>
      <c r="N598" s="5" t="s">
        <v>2230</v>
      </c>
      <c r="O598" s="5" t="s">
        <v>33</v>
      </c>
      <c r="P598" s="5" t="s">
        <v>26</v>
      </c>
      <c r="Q598" s="5" t="s">
        <v>34</v>
      </c>
      <c r="R598" s="5">
        <v>2119</v>
      </c>
      <c r="S598" s="5">
        <v>42.315192476472497</v>
      </c>
      <c r="T598" s="5">
        <v>-71.077684509999997</v>
      </c>
    </row>
    <row r="599" spans="1:20" x14ac:dyDescent="0.3">
      <c r="A599" s="5" t="s">
        <v>2231</v>
      </c>
      <c r="B599" s="6">
        <v>29118</v>
      </c>
      <c r="C599" s="6" t="str">
        <f t="shared" si="171"/>
        <v>Active/Unavailable</v>
      </c>
      <c r="D599" s="5" t="s">
        <v>29</v>
      </c>
      <c r="E599" s="5" t="s">
        <v>2232</v>
      </c>
      <c r="F599" s="5" t="s">
        <v>605</v>
      </c>
      <c r="G599" s="5" t="str">
        <f t="shared" si="173"/>
        <v>Not Available</v>
      </c>
      <c r="H599" s="5" t="str">
        <f t="shared" si="172"/>
        <v>Not Available</v>
      </c>
      <c r="I599" s="5" t="s">
        <v>22</v>
      </c>
      <c r="J599" s="5" t="s">
        <v>3387</v>
      </c>
      <c r="K599" s="5" t="s">
        <v>3393</v>
      </c>
      <c r="L599" s="5" t="s">
        <v>22</v>
      </c>
      <c r="M599" s="5" t="s">
        <v>3576</v>
      </c>
      <c r="N599" s="5" t="s">
        <v>2233</v>
      </c>
      <c r="O599" s="5" t="s">
        <v>33</v>
      </c>
      <c r="P599" s="5" t="s">
        <v>26</v>
      </c>
      <c r="Q599" s="5" t="s">
        <v>34</v>
      </c>
      <c r="R599" s="5">
        <v>2215</v>
      </c>
      <c r="S599" s="5">
        <v>42.382999182534299</v>
      </c>
      <c r="T599" s="5">
        <v>-70.97153849</v>
      </c>
    </row>
    <row r="600" spans="1:20" x14ac:dyDescent="0.3">
      <c r="A600" s="5" t="s">
        <v>2234</v>
      </c>
      <c r="B600" s="6">
        <v>8669</v>
      </c>
      <c r="C600" s="6" t="str">
        <f t="shared" si="171"/>
        <v>Active/Unavailable</v>
      </c>
      <c r="D600" s="5" t="s">
        <v>29</v>
      </c>
      <c r="E600" s="5" t="s">
        <v>2235</v>
      </c>
      <c r="F600" s="5" t="s">
        <v>2236</v>
      </c>
      <c r="G600" s="5" t="str">
        <f t="shared" si="173"/>
        <v>Not Available</v>
      </c>
      <c r="H600" s="5" t="str">
        <f t="shared" si="172"/>
        <v>Not Available</v>
      </c>
      <c r="I600" s="5" t="s">
        <v>22</v>
      </c>
      <c r="J600" s="5" t="s">
        <v>3388</v>
      </c>
      <c r="K600" s="5" t="s">
        <v>3393</v>
      </c>
      <c r="L600" s="5" t="s">
        <v>22</v>
      </c>
      <c r="M600" s="5" t="s">
        <v>3639</v>
      </c>
      <c r="N600" s="5" t="s">
        <v>2237</v>
      </c>
      <c r="O600" s="5" t="s">
        <v>56</v>
      </c>
      <c r="P600" s="5" t="s">
        <v>26</v>
      </c>
      <c r="Q600" s="5" t="s">
        <v>57</v>
      </c>
      <c r="R600" s="5">
        <v>2141</v>
      </c>
      <c r="S600" s="5">
        <v>42.329053082214799</v>
      </c>
      <c r="T600" s="5">
        <v>-71.100179249999997</v>
      </c>
    </row>
    <row r="601" spans="1:20" x14ac:dyDescent="0.3">
      <c r="A601" s="5" t="s">
        <v>2238</v>
      </c>
      <c r="B601" s="6">
        <v>23031</v>
      </c>
      <c r="C601" s="6" t="str">
        <f t="shared" si="171"/>
        <v>Active/Unavailable</v>
      </c>
      <c r="D601" s="5" t="s">
        <v>18</v>
      </c>
      <c r="E601" s="5" t="s">
        <v>2239</v>
      </c>
      <c r="F601" s="5" t="s">
        <v>2240</v>
      </c>
      <c r="G601" s="5" t="str">
        <f t="shared" si="173"/>
        <v>Not Available</v>
      </c>
      <c r="H601" s="5" t="s">
        <v>1139</v>
      </c>
      <c r="I601" s="5" t="s">
        <v>22</v>
      </c>
      <c r="J601" s="5" t="s">
        <v>3387</v>
      </c>
      <c r="K601" s="5" t="s">
        <v>3393</v>
      </c>
      <c r="L601" s="5" t="s">
        <v>23</v>
      </c>
      <c r="M601" s="5" t="s">
        <v>3430</v>
      </c>
      <c r="N601" s="5" t="s">
        <v>2241</v>
      </c>
      <c r="O601" s="5" t="s">
        <v>679</v>
      </c>
      <c r="P601" s="5" t="s">
        <v>26</v>
      </c>
      <c r="Q601" s="5" t="s">
        <v>317</v>
      </c>
      <c r="R601" s="5">
        <v>2045</v>
      </c>
      <c r="S601" s="5">
        <v>42.332142533400102</v>
      </c>
      <c r="T601" s="5">
        <v>-70.878360900000004</v>
      </c>
    </row>
    <row r="602" spans="1:20" x14ac:dyDescent="0.3">
      <c r="A602" s="5" t="s">
        <v>2242</v>
      </c>
      <c r="B602" s="6">
        <v>20839</v>
      </c>
      <c r="C602" s="6">
        <v>42400</v>
      </c>
      <c r="D602" s="5" t="s">
        <v>29</v>
      </c>
      <c r="E602" s="5" t="s">
        <v>123</v>
      </c>
      <c r="F602" s="5" t="s">
        <v>2243</v>
      </c>
      <c r="G602" s="5" t="str">
        <f t="shared" si="173"/>
        <v>Not Available</v>
      </c>
      <c r="H602" s="5" t="str">
        <f t="shared" ref="H602:H605" si="174">"Not Available"</f>
        <v>Not Available</v>
      </c>
      <c r="I602" s="5" t="s">
        <v>22</v>
      </c>
      <c r="J602" s="5" t="s">
        <v>3387</v>
      </c>
      <c r="K602" s="5" t="s">
        <v>3393</v>
      </c>
      <c r="L602" s="5" t="s">
        <v>22</v>
      </c>
      <c r="M602" s="5" t="s">
        <v>3434</v>
      </c>
      <c r="N602" s="5" t="s">
        <v>3703</v>
      </c>
      <c r="O602" s="5" t="s">
        <v>33</v>
      </c>
      <c r="P602" s="5" t="s">
        <v>26</v>
      </c>
      <c r="Q602" s="5" t="s">
        <v>34</v>
      </c>
      <c r="R602" s="5">
        <v>2152</v>
      </c>
      <c r="S602" s="5">
        <v>42.338593318064802</v>
      </c>
      <c r="T602" s="5">
        <v>-70.96603897</v>
      </c>
    </row>
    <row r="603" spans="1:20" x14ac:dyDescent="0.3">
      <c r="A603" s="5" t="s">
        <v>2244</v>
      </c>
      <c r="B603" s="6">
        <v>20839</v>
      </c>
      <c r="C603" s="6" t="str">
        <f t="shared" ref="C603:C617" si="175">"Active/Unavailable"</f>
        <v>Active/Unavailable</v>
      </c>
      <c r="D603" s="5" t="s">
        <v>29</v>
      </c>
      <c r="E603" s="5" t="s">
        <v>2245</v>
      </c>
      <c r="F603" s="5" t="s">
        <v>1579</v>
      </c>
      <c r="G603" s="5" t="str">
        <f t="shared" si="173"/>
        <v>Not Available</v>
      </c>
      <c r="H603" s="5" t="str">
        <f t="shared" si="174"/>
        <v>Not Available</v>
      </c>
      <c r="I603" s="5" t="s">
        <v>22</v>
      </c>
      <c r="J603" s="5" t="s">
        <v>3387</v>
      </c>
      <c r="K603" s="5" t="s">
        <v>3393</v>
      </c>
      <c r="L603" s="5" t="s">
        <v>22</v>
      </c>
      <c r="M603" s="5" t="s">
        <v>3575</v>
      </c>
      <c r="N603" s="5" t="s">
        <v>2246</v>
      </c>
      <c r="O603" s="5" t="s">
        <v>33</v>
      </c>
      <c r="P603" s="5" t="s">
        <v>26</v>
      </c>
      <c r="Q603" s="5" t="s">
        <v>34</v>
      </c>
      <c r="R603" s="5">
        <v>2203</v>
      </c>
      <c r="S603" s="5">
        <v>42.333531554236203</v>
      </c>
      <c r="T603" s="5">
        <v>-71.051854610000007</v>
      </c>
    </row>
    <row r="604" spans="1:20" x14ac:dyDescent="0.3">
      <c r="A604" s="5" t="s">
        <v>2247</v>
      </c>
      <c r="B604" s="6">
        <v>8715</v>
      </c>
      <c r="C604" s="6" t="str">
        <f t="shared" si="175"/>
        <v>Active/Unavailable</v>
      </c>
      <c r="D604" s="5" t="s">
        <v>29</v>
      </c>
      <c r="E604" s="5" t="s">
        <v>734</v>
      </c>
      <c r="F604" s="5" t="s">
        <v>1352</v>
      </c>
      <c r="G604" s="5" t="s">
        <v>2248</v>
      </c>
      <c r="H604" s="5" t="str">
        <f t="shared" si="174"/>
        <v>Not Available</v>
      </c>
      <c r="I604" s="5" t="s">
        <v>65</v>
      </c>
      <c r="J604" s="5" t="s">
        <v>3387</v>
      </c>
      <c r="K604" s="5" t="s">
        <v>3393</v>
      </c>
      <c r="L604" s="5" t="s">
        <v>22</v>
      </c>
      <c r="M604" s="5" t="s">
        <v>3611</v>
      </c>
      <c r="N604" s="5" t="s">
        <v>2249</v>
      </c>
      <c r="O604" s="5" t="s">
        <v>209</v>
      </c>
      <c r="P604" s="5" t="s">
        <v>26</v>
      </c>
      <c r="Q604" s="5" t="s">
        <v>27</v>
      </c>
      <c r="R604" s="5">
        <v>2191</v>
      </c>
      <c r="S604" s="5">
        <v>42.226015692455803</v>
      </c>
      <c r="T604" s="5">
        <v>-70.909918090000005</v>
      </c>
    </row>
    <row r="605" spans="1:20" x14ac:dyDescent="0.3">
      <c r="A605" s="5" t="s">
        <v>2250</v>
      </c>
      <c r="B605" s="6">
        <v>22368</v>
      </c>
      <c r="C605" s="6" t="str">
        <f t="shared" si="175"/>
        <v>Active/Unavailable</v>
      </c>
      <c r="D605" s="5" t="s">
        <v>100</v>
      </c>
      <c r="E605" s="5" t="s">
        <v>2251</v>
      </c>
      <c r="F605" s="5" t="s">
        <v>852</v>
      </c>
      <c r="G605" s="5" t="str">
        <f t="shared" ref="G605:G636" si="176">"Not Available"</f>
        <v>Not Available</v>
      </c>
      <c r="H605" s="5" t="str">
        <f t="shared" si="174"/>
        <v>Not Available</v>
      </c>
      <c r="I605" s="5" t="s">
        <v>65</v>
      </c>
      <c r="J605" s="5" t="s">
        <v>3391</v>
      </c>
      <c r="K605" s="5" t="s">
        <v>3393</v>
      </c>
      <c r="L605" s="5" t="s">
        <v>23</v>
      </c>
      <c r="M605" s="5" t="s">
        <v>3595</v>
      </c>
      <c r="N605" s="5" t="s">
        <v>2252</v>
      </c>
      <c r="O605" s="5" t="s">
        <v>33</v>
      </c>
      <c r="P605" s="5" t="s">
        <v>26</v>
      </c>
      <c r="Q605" s="5" t="s">
        <v>34</v>
      </c>
      <c r="R605" s="5">
        <v>2124</v>
      </c>
      <c r="S605" s="5">
        <v>42.358561107977899</v>
      </c>
      <c r="T605" s="5">
        <v>-71.018905660000001</v>
      </c>
    </row>
    <row r="606" spans="1:20" x14ac:dyDescent="0.3">
      <c r="A606" s="5" t="s">
        <v>2253</v>
      </c>
      <c r="B606" s="6">
        <v>8789</v>
      </c>
      <c r="C606" s="6" t="str">
        <f t="shared" si="175"/>
        <v>Active/Unavailable</v>
      </c>
      <c r="D606" s="5" t="s">
        <v>18</v>
      </c>
      <c r="E606" s="5" t="s">
        <v>2254</v>
      </c>
      <c r="F606" s="5" t="s">
        <v>1292</v>
      </c>
      <c r="G606" s="5" t="str">
        <f t="shared" si="176"/>
        <v>Not Available</v>
      </c>
      <c r="H606" s="5" t="s">
        <v>1051</v>
      </c>
      <c r="I606" s="5" t="s">
        <v>22</v>
      </c>
      <c r="J606" s="5" t="s">
        <v>3389</v>
      </c>
      <c r="K606" s="5" t="s">
        <v>3393</v>
      </c>
      <c r="L606" s="5" t="s">
        <v>23</v>
      </c>
      <c r="M606" s="5" t="s">
        <v>3640</v>
      </c>
      <c r="N606" s="5" t="s">
        <v>2255</v>
      </c>
      <c r="O606" s="5" t="s">
        <v>33</v>
      </c>
      <c r="P606" s="5" t="s">
        <v>26</v>
      </c>
      <c r="Q606" s="5" t="s">
        <v>34</v>
      </c>
      <c r="R606" s="5">
        <v>2121</v>
      </c>
      <c r="S606" s="5">
        <v>42.320733456246003</v>
      </c>
      <c r="T606" s="5">
        <v>-71.080978099999996</v>
      </c>
    </row>
    <row r="607" spans="1:20" x14ac:dyDescent="0.3">
      <c r="A607" s="5" t="s">
        <v>2256</v>
      </c>
      <c r="B607" s="6">
        <v>32235</v>
      </c>
      <c r="C607" s="6" t="str">
        <f t="shared" si="175"/>
        <v>Active/Unavailable</v>
      </c>
      <c r="D607" s="5" t="s">
        <v>18</v>
      </c>
      <c r="E607" s="5" t="s">
        <v>2257</v>
      </c>
      <c r="F607" s="5" t="s">
        <v>2258</v>
      </c>
      <c r="G607" s="5" t="str">
        <f t="shared" si="176"/>
        <v>Not Available</v>
      </c>
      <c r="H607" s="5" t="s">
        <v>1062</v>
      </c>
      <c r="I607" s="5" t="s">
        <v>22</v>
      </c>
      <c r="J607" s="5" t="s">
        <v>3387</v>
      </c>
      <c r="K607" s="5" t="s">
        <v>3393</v>
      </c>
      <c r="L607" s="5" t="s">
        <v>23</v>
      </c>
      <c r="M607" s="5" t="s">
        <v>3420</v>
      </c>
      <c r="N607" s="5" t="s">
        <v>2259</v>
      </c>
      <c r="O607" s="5" t="s">
        <v>33</v>
      </c>
      <c r="P607" s="5" t="s">
        <v>26</v>
      </c>
      <c r="Q607" s="5" t="s">
        <v>34</v>
      </c>
      <c r="R607" s="5">
        <v>2199</v>
      </c>
      <c r="S607" s="5">
        <v>42.361881564957102</v>
      </c>
      <c r="T607" s="5">
        <v>-71.031884739999995</v>
      </c>
    </row>
    <row r="608" spans="1:20" x14ac:dyDescent="0.3">
      <c r="A608" s="5" t="s">
        <v>2260</v>
      </c>
      <c r="B608" s="6">
        <v>24797</v>
      </c>
      <c r="C608" s="6" t="str">
        <f t="shared" si="175"/>
        <v>Active/Unavailable</v>
      </c>
      <c r="D608" s="5" t="s">
        <v>29</v>
      </c>
      <c r="E608" s="5" t="s">
        <v>2261</v>
      </c>
      <c r="F608" s="5" t="s">
        <v>389</v>
      </c>
      <c r="G608" s="5" t="str">
        <f t="shared" si="176"/>
        <v>Not Available</v>
      </c>
      <c r="H608" s="5" t="str">
        <f t="shared" ref="H608:H613" si="177">"Not Available"</f>
        <v>Not Available</v>
      </c>
      <c r="I608" s="5" t="s">
        <v>22</v>
      </c>
      <c r="J608" s="5" t="s">
        <v>3387</v>
      </c>
      <c r="K608" s="5" t="s">
        <v>3393</v>
      </c>
      <c r="L608" s="5" t="s">
        <v>22</v>
      </c>
      <c r="M608" s="5" t="s">
        <v>3464</v>
      </c>
      <c r="N608" s="5" t="s">
        <v>2262</v>
      </c>
      <c r="O608" s="5" t="s">
        <v>25</v>
      </c>
      <c r="P608" s="5" t="s">
        <v>26</v>
      </c>
      <c r="Q608" s="5" t="s">
        <v>27</v>
      </c>
      <c r="R608" s="5">
        <v>2170</v>
      </c>
      <c r="S608" s="5">
        <v>42.281148722103801</v>
      </c>
      <c r="T608" s="5">
        <v>-71.036848469999995</v>
      </c>
    </row>
    <row r="609" spans="1:20" x14ac:dyDescent="0.3">
      <c r="A609" s="5" t="s">
        <v>2263</v>
      </c>
      <c r="B609" s="6">
        <v>24198</v>
      </c>
      <c r="C609" s="6" t="str">
        <f t="shared" si="175"/>
        <v>Active/Unavailable</v>
      </c>
      <c r="D609" s="5" t="s">
        <v>29</v>
      </c>
      <c r="E609" s="5" t="s">
        <v>2264</v>
      </c>
      <c r="F609" s="5" t="s">
        <v>2265</v>
      </c>
      <c r="G609" s="5" t="str">
        <f t="shared" si="176"/>
        <v>Not Available</v>
      </c>
      <c r="H609" s="5" t="str">
        <f t="shared" si="177"/>
        <v>Not Available</v>
      </c>
      <c r="I609" s="5" t="s">
        <v>22</v>
      </c>
      <c r="J609" s="5" t="s">
        <v>3387</v>
      </c>
      <c r="K609" s="5" t="s">
        <v>3394</v>
      </c>
      <c r="L609" s="5" t="s">
        <v>22</v>
      </c>
      <c r="M609" s="5" t="s">
        <v>3441</v>
      </c>
      <c r="N609" s="5" t="s">
        <v>2266</v>
      </c>
      <c r="O609" s="5" t="s">
        <v>33</v>
      </c>
      <c r="P609" s="5" t="s">
        <v>26</v>
      </c>
      <c r="Q609" s="5" t="s">
        <v>34</v>
      </c>
      <c r="R609" s="5">
        <v>2203</v>
      </c>
      <c r="S609" s="5">
        <v>42.3603749314277</v>
      </c>
      <c r="T609" s="5">
        <v>-71.052195089999998</v>
      </c>
    </row>
    <row r="610" spans="1:20" x14ac:dyDescent="0.3">
      <c r="A610" s="5" t="s">
        <v>2267</v>
      </c>
      <c r="B610" s="6">
        <v>24373</v>
      </c>
      <c r="C610" s="6" t="str">
        <f t="shared" si="175"/>
        <v>Active/Unavailable</v>
      </c>
      <c r="D610" s="5" t="s">
        <v>29</v>
      </c>
      <c r="E610" s="5" t="s">
        <v>877</v>
      </c>
      <c r="F610" s="5" t="s">
        <v>3373</v>
      </c>
      <c r="G610" s="5" t="str">
        <f t="shared" si="176"/>
        <v>Not Available</v>
      </c>
      <c r="H610" s="5" t="str">
        <f t="shared" si="177"/>
        <v>Not Available</v>
      </c>
      <c r="I610" s="5" t="s">
        <v>22</v>
      </c>
      <c r="J610" s="5" t="s">
        <v>3387</v>
      </c>
      <c r="K610" s="5" t="s">
        <v>3394</v>
      </c>
      <c r="L610" s="5" t="s">
        <v>22</v>
      </c>
      <c r="M610" s="5" t="s">
        <v>3439</v>
      </c>
      <c r="N610" s="5" t="s">
        <v>2268</v>
      </c>
      <c r="O610" s="5" t="s">
        <v>172</v>
      </c>
      <c r="P610" s="5" t="s">
        <v>26</v>
      </c>
      <c r="Q610" s="5" t="s">
        <v>34</v>
      </c>
      <c r="R610" s="5">
        <v>2151</v>
      </c>
      <c r="S610" s="5">
        <v>42.367215971849902</v>
      </c>
      <c r="T610" s="5">
        <v>-71.054137260000005</v>
      </c>
    </row>
    <row r="611" spans="1:20" x14ac:dyDescent="0.3">
      <c r="A611" s="5" t="s">
        <v>2269</v>
      </c>
      <c r="B611" s="6">
        <v>12615</v>
      </c>
      <c r="C611" s="6" t="str">
        <f t="shared" si="175"/>
        <v>Active/Unavailable</v>
      </c>
      <c r="D611" s="5" t="s">
        <v>29</v>
      </c>
      <c r="E611" s="5" t="s">
        <v>2270</v>
      </c>
      <c r="F611" s="5" t="s">
        <v>459</v>
      </c>
      <c r="G611" s="5" t="str">
        <f t="shared" si="176"/>
        <v>Not Available</v>
      </c>
      <c r="H611" s="5" t="str">
        <f t="shared" si="177"/>
        <v>Not Available</v>
      </c>
      <c r="I611" s="5" t="s">
        <v>22</v>
      </c>
      <c r="J611" s="5" t="s">
        <v>3387</v>
      </c>
      <c r="K611" s="5" t="s">
        <v>3393</v>
      </c>
      <c r="L611" s="5" t="s">
        <v>22</v>
      </c>
      <c r="M611" s="5" t="s">
        <v>3532</v>
      </c>
      <c r="N611" s="5" t="s">
        <v>2271</v>
      </c>
      <c r="O611" s="5" t="s">
        <v>33</v>
      </c>
      <c r="P611" s="5" t="s">
        <v>26</v>
      </c>
      <c r="Q611" s="5" t="s">
        <v>34</v>
      </c>
      <c r="R611" s="5">
        <v>2110</v>
      </c>
      <c r="S611" s="5">
        <v>42.357113596897101</v>
      </c>
      <c r="T611" s="5">
        <v>-70.972667290000004</v>
      </c>
    </row>
    <row r="612" spans="1:20" x14ac:dyDescent="0.3">
      <c r="A612" s="5" t="s">
        <v>2272</v>
      </c>
      <c r="B612" s="6">
        <v>15328</v>
      </c>
      <c r="C612" s="6" t="str">
        <f t="shared" si="175"/>
        <v>Active/Unavailable</v>
      </c>
      <c r="D612" s="5" t="s">
        <v>29</v>
      </c>
      <c r="E612" s="5" t="s">
        <v>1995</v>
      </c>
      <c r="F612" s="5" t="s">
        <v>54</v>
      </c>
      <c r="G612" s="5" t="str">
        <f t="shared" si="176"/>
        <v>Not Available</v>
      </c>
      <c r="H612" s="5" t="str">
        <f t="shared" si="177"/>
        <v>Not Available</v>
      </c>
      <c r="I612" s="5" t="s">
        <v>22</v>
      </c>
      <c r="J612" s="5" t="s">
        <v>3387</v>
      </c>
      <c r="K612" s="5" t="s">
        <v>3393</v>
      </c>
      <c r="L612" s="5" t="s">
        <v>22</v>
      </c>
      <c r="M612" s="5" t="s">
        <v>3540</v>
      </c>
      <c r="N612" s="5" t="s">
        <v>2273</v>
      </c>
      <c r="O612" s="5" t="s">
        <v>574</v>
      </c>
      <c r="P612" s="5" t="s">
        <v>26</v>
      </c>
      <c r="Q612" s="5" t="s">
        <v>27</v>
      </c>
      <c r="R612" s="5">
        <v>2467</v>
      </c>
      <c r="S612" s="5">
        <v>42.348057040657302</v>
      </c>
      <c r="T612" s="5">
        <v>-71.138227950000001</v>
      </c>
    </row>
    <row r="613" spans="1:20" x14ac:dyDescent="0.3">
      <c r="A613" s="5" t="s">
        <v>2274</v>
      </c>
      <c r="B613" s="6">
        <v>14170</v>
      </c>
      <c r="C613" s="6" t="str">
        <f t="shared" si="175"/>
        <v>Active/Unavailable</v>
      </c>
      <c r="D613" s="5" t="s">
        <v>29</v>
      </c>
      <c r="E613" s="5" t="s">
        <v>2275</v>
      </c>
      <c r="F613" s="5" t="s">
        <v>837</v>
      </c>
      <c r="G613" s="5" t="str">
        <f t="shared" si="176"/>
        <v>Not Available</v>
      </c>
      <c r="H613" s="5" t="str">
        <f t="shared" si="177"/>
        <v>Not Available</v>
      </c>
      <c r="I613" s="5" t="s">
        <v>22</v>
      </c>
      <c r="J613" s="5" t="s">
        <v>3389</v>
      </c>
      <c r="K613" s="5" t="s">
        <v>3393</v>
      </c>
      <c r="L613" s="5" t="s">
        <v>22</v>
      </c>
      <c r="M613" s="5" t="s">
        <v>3444</v>
      </c>
      <c r="N613" s="5" t="s">
        <v>2276</v>
      </c>
      <c r="O613" s="5" t="s">
        <v>209</v>
      </c>
      <c r="P613" s="5" t="s">
        <v>26</v>
      </c>
      <c r="Q613" s="5" t="s">
        <v>27</v>
      </c>
      <c r="R613" s="5">
        <v>2189</v>
      </c>
      <c r="S613" s="5">
        <v>42.226275461957101</v>
      </c>
      <c r="T613" s="5">
        <v>-70.913066420000007</v>
      </c>
    </row>
    <row r="614" spans="1:20" x14ac:dyDescent="0.3">
      <c r="A614" s="5" t="s">
        <v>2277</v>
      </c>
      <c r="B614" s="6">
        <v>31409</v>
      </c>
      <c r="C614" s="6" t="str">
        <f t="shared" si="175"/>
        <v>Active/Unavailable</v>
      </c>
      <c r="D614" s="5" t="s">
        <v>18</v>
      </c>
      <c r="E614" s="5" t="s">
        <v>2278</v>
      </c>
      <c r="F614" s="5" t="s">
        <v>1022</v>
      </c>
      <c r="G614" s="5" t="str">
        <f t="shared" si="176"/>
        <v>Not Available</v>
      </c>
      <c r="H614" s="5" t="s">
        <v>1435</v>
      </c>
      <c r="I614" s="5" t="s">
        <v>22</v>
      </c>
      <c r="J614" s="5" t="s">
        <v>3387</v>
      </c>
      <c r="K614" s="5" t="s">
        <v>3393</v>
      </c>
      <c r="L614" s="5" t="s">
        <v>23</v>
      </c>
      <c r="M614" s="5" t="s">
        <v>3400</v>
      </c>
      <c r="N614" s="5" t="s">
        <v>2279</v>
      </c>
      <c r="O614" s="5" t="s">
        <v>33</v>
      </c>
      <c r="P614" s="5" t="s">
        <v>26</v>
      </c>
      <c r="Q614" s="5" t="s">
        <v>34</v>
      </c>
      <c r="R614" s="5">
        <v>2203</v>
      </c>
      <c r="S614" s="5">
        <v>42.386301328894596</v>
      </c>
      <c r="T614" s="5">
        <v>-71.037086329999994</v>
      </c>
    </row>
    <row r="615" spans="1:20" x14ac:dyDescent="0.3">
      <c r="A615" s="5" t="s">
        <v>2280</v>
      </c>
      <c r="B615" s="6">
        <v>32910</v>
      </c>
      <c r="C615" s="6" t="str">
        <f t="shared" si="175"/>
        <v>Active/Unavailable</v>
      </c>
      <c r="D615" s="5" t="s">
        <v>18</v>
      </c>
      <c r="E615" s="5" t="s">
        <v>2281</v>
      </c>
      <c r="F615" s="5" t="s">
        <v>1147</v>
      </c>
      <c r="G615" s="5" t="str">
        <f t="shared" si="176"/>
        <v>Not Available</v>
      </c>
      <c r="H615" s="5" t="s">
        <v>472</v>
      </c>
      <c r="I615" s="5" t="s">
        <v>22</v>
      </c>
      <c r="J615" s="5" t="s">
        <v>3387</v>
      </c>
      <c r="K615" s="5" t="s">
        <v>3393</v>
      </c>
      <c r="L615" s="5" t="s">
        <v>23</v>
      </c>
      <c r="M615" s="5" t="s">
        <v>3466</v>
      </c>
      <c r="N615" s="5" t="s">
        <v>2282</v>
      </c>
      <c r="O615" s="5" t="s">
        <v>33</v>
      </c>
      <c r="P615" s="5" t="s">
        <v>26</v>
      </c>
      <c r="Q615" s="5" t="s">
        <v>34</v>
      </c>
      <c r="R615" s="5">
        <v>2136</v>
      </c>
      <c r="S615" s="5">
        <v>42.317221463981802</v>
      </c>
      <c r="T615" s="5">
        <v>-71.080276049999995</v>
      </c>
    </row>
    <row r="616" spans="1:20" x14ac:dyDescent="0.3">
      <c r="A616" s="5" t="s">
        <v>2283</v>
      </c>
      <c r="B616" s="6">
        <v>32909</v>
      </c>
      <c r="C616" s="6" t="str">
        <f t="shared" si="175"/>
        <v>Active/Unavailable</v>
      </c>
      <c r="D616" s="5" t="s">
        <v>18</v>
      </c>
      <c r="E616" s="5" t="s">
        <v>2284</v>
      </c>
      <c r="F616" s="5" t="s">
        <v>687</v>
      </c>
      <c r="G616" s="5" t="str">
        <f t="shared" si="176"/>
        <v>Not Available</v>
      </c>
      <c r="H616" s="5" t="s">
        <v>2285</v>
      </c>
      <c r="I616" s="5" t="s">
        <v>22</v>
      </c>
      <c r="J616" s="5" t="s">
        <v>3387</v>
      </c>
      <c r="K616" s="5" t="s">
        <v>3393</v>
      </c>
      <c r="L616" s="5" t="s">
        <v>23</v>
      </c>
      <c r="M616" s="5" t="s">
        <v>3527</v>
      </c>
      <c r="N616" s="5" t="s">
        <v>2286</v>
      </c>
      <c r="O616" s="5" t="s">
        <v>33</v>
      </c>
      <c r="P616" s="5" t="s">
        <v>26</v>
      </c>
      <c r="Q616" s="5" t="s">
        <v>34</v>
      </c>
      <c r="R616" s="5">
        <v>2163</v>
      </c>
      <c r="S616" s="5">
        <v>42.318070064500702</v>
      </c>
      <c r="T616" s="5">
        <v>-71.044172590000002</v>
      </c>
    </row>
    <row r="617" spans="1:20" x14ac:dyDescent="0.3">
      <c r="A617" s="5" t="s">
        <v>2287</v>
      </c>
      <c r="B617" s="6">
        <v>28766</v>
      </c>
      <c r="C617" s="6" t="str">
        <f t="shared" si="175"/>
        <v>Active/Unavailable</v>
      </c>
      <c r="D617" s="5" t="s">
        <v>18</v>
      </c>
      <c r="E617" s="5" t="s">
        <v>2288</v>
      </c>
      <c r="F617" s="5" t="s">
        <v>2289</v>
      </c>
      <c r="G617" s="5" t="str">
        <f t="shared" si="176"/>
        <v>Not Available</v>
      </c>
      <c r="H617" s="5" t="s">
        <v>541</v>
      </c>
      <c r="I617" s="5" t="s">
        <v>22</v>
      </c>
      <c r="J617" s="5" t="s">
        <v>3387</v>
      </c>
      <c r="K617" s="5" t="s">
        <v>3393</v>
      </c>
      <c r="L617" s="5" t="s">
        <v>23</v>
      </c>
      <c r="M617" s="5" t="s">
        <v>3416</v>
      </c>
      <c r="N617" s="5" t="s">
        <v>2290</v>
      </c>
      <c r="O617" s="5" t="s">
        <v>587</v>
      </c>
      <c r="P617" s="5" t="s">
        <v>26</v>
      </c>
      <c r="Q617" s="5" t="s">
        <v>27</v>
      </c>
      <c r="R617" s="5">
        <v>2184</v>
      </c>
      <c r="S617" s="5">
        <v>42.247182008892501</v>
      </c>
      <c r="T617" s="5">
        <v>-70.981574850000001</v>
      </c>
    </row>
    <row r="618" spans="1:20" x14ac:dyDescent="0.3">
      <c r="A618" s="5" t="s">
        <v>2291</v>
      </c>
      <c r="B618" s="6">
        <v>10307</v>
      </c>
      <c r="C618" s="6">
        <v>44045</v>
      </c>
      <c r="D618" s="5" t="s">
        <v>29</v>
      </c>
      <c r="E618" s="5" t="s">
        <v>763</v>
      </c>
      <c r="F618" s="5" t="s">
        <v>514</v>
      </c>
      <c r="G618" s="5" t="str">
        <f t="shared" si="176"/>
        <v>Not Available</v>
      </c>
      <c r="H618" s="5" t="str">
        <f>"Not Available"</f>
        <v>Not Available</v>
      </c>
      <c r="I618" s="5" t="s">
        <v>22</v>
      </c>
      <c r="J618" s="5" t="s">
        <v>3389</v>
      </c>
      <c r="K618" s="5" t="s">
        <v>3393</v>
      </c>
      <c r="L618" s="5" t="s">
        <v>22</v>
      </c>
      <c r="M618" s="5" t="s">
        <v>3641</v>
      </c>
      <c r="N618" s="5" t="s">
        <v>2292</v>
      </c>
      <c r="O618" s="5" t="s">
        <v>172</v>
      </c>
      <c r="P618" s="5" t="s">
        <v>26</v>
      </c>
      <c r="Q618" s="5" t="s">
        <v>34</v>
      </c>
      <c r="R618" s="5">
        <v>2150</v>
      </c>
      <c r="S618" s="5">
        <v>42.382060474684501</v>
      </c>
      <c r="T618" s="5">
        <v>-71.021031640000004</v>
      </c>
    </row>
    <row r="619" spans="1:20" x14ac:dyDescent="0.3">
      <c r="A619" s="5" t="s">
        <v>2293</v>
      </c>
      <c r="B619" s="6">
        <v>22212</v>
      </c>
      <c r="C619" s="6" t="str">
        <f t="shared" ref="C619:C621" si="178">"Active/Unavailable"</f>
        <v>Active/Unavailable</v>
      </c>
      <c r="D619" s="5" t="s">
        <v>18</v>
      </c>
      <c r="E619" s="5" t="s">
        <v>2294</v>
      </c>
      <c r="F619" s="5" t="s">
        <v>532</v>
      </c>
      <c r="G619" s="5" t="str">
        <f t="shared" si="176"/>
        <v>Not Available</v>
      </c>
      <c r="H619" s="5" t="s">
        <v>1352</v>
      </c>
      <c r="I619" s="5" t="s">
        <v>22</v>
      </c>
      <c r="J619" s="5" t="s">
        <v>3389</v>
      </c>
      <c r="K619" s="5" t="s">
        <v>3393</v>
      </c>
      <c r="L619" s="5" t="s">
        <v>23</v>
      </c>
      <c r="M619" s="5" t="s">
        <v>3420</v>
      </c>
      <c r="N619" s="5" t="s">
        <v>2295</v>
      </c>
      <c r="O619" s="5" t="s">
        <v>88</v>
      </c>
      <c r="P619" s="5" t="s">
        <v>26</v>
      </c>
      <c r="Q619" s="5" t="s">
        <v>57</v>
      </c>
      <c r="R619" s="5">
        <v>2144</v>
      </c>
      <c r="S619" s="5">
        <v>42.336123646463001</v>
      </c>
      <c r="T619" s="5">
        <v>-71.104838099999995</v>
      </c>
    </row>
    <row r="620" spans="1:20" x14ac:dyDescent="0.3">
      <c r="A620" s="5" t="s">
        <v>2296</v>
      </c>
      <c r="B620" s="6">
        <v>11163</v>
      </c>
      <c r="C620" s="6" t="str">
        <f t="shared" si="178"/>
        <v>Active/Unavailable</v>
      </c>
      <c r="D620" s="5" t="s">
        <v>18</v>
      </c>
      <c r="E620" s="5" t="s">
        <v>2297</v>
      </c>
      <c r="F620" s="5" t="s">
        <v>1063</v>
      </c>
      <c r="G620" s="5" t="str">
        <f t="shared" si="176"/>
        <v>Not Available</v>
      </c>
      <c r="H620" s="5" t="s">
        <v>102</v>
      </c>
      <c r="I620" s="5" t="s">
        <v>22</v>
      </c>
      <c r="J620" s="5" t="s">
        <v>3387</v>
      </c>
      <c r="K620" s="5" t="s">
        <v>3393</v>
      </c>
      <c r="L620" s="5" t="s">
        <v>23</v>
      </c>
      <c r="M620" s="5" t="s">
        <v>3474</v>
      </c>
      <c r="N620" s="5" t="s">
        <v>2298</v>
      </c>
      <c r="O620" s="5" t="s">
        <v>56</v>
      </c>
      <c r="P620" s="5" t="s">
        <v>26</v>
      </c>
      <c r="Q620" s="5" t="s">
        <v>57</v>
      </c>
      <c r="R620" s="5">
        <v>2140</v>
      </c>
      <c r="S620" s="5">
        <v>42.383597231226197</v>
      </c>
      <c r="T620" s="5">
        <v>-71.054277510000006</v>
      </c>
    </row>
    <row r="621" spans="1:20" x14ac:dyDescent="0.3">
      <c r="A621" s="5" t="s">
        <v>2299</v>
      </c>
      <c r="B621" s="6">
        <v>16959</v>
      </c>
      <c r="C621" s="6" t="str">
        <f t="shared" si="178"/>
        <v>Active/Unavailable</v>
      </c>
      <c r="D621" s="5" t="s">
        <v>18</v>
      </c>
      <c r="E621" s="5" t="s">
        <v>2300</v>
      </c>
      <c r="F621" s="5" t="s">
        <v>389</v>
      </c>
      <c r="G621" s="5" t="str">
        <f t="shared" si="176"/>
        <v>Not Available</v>
      </c>
      <c r="H621" s="5" t="s">
        <v>379</v>
      </c>
      <c r="I621" s="5" t="s">
        <v>22</v>
      </c>
      <c r="J621" s="5" t="s">
        <v>3387</v>
      </c>
      <c r="K621" s="5" t="s">
        <v>3393</v>
      </c>
      <c r="L621" s="5" t="s">
        <v>23</v>
      </c>
      <c r="M621" s="5" t="s">
        <v>3447</v>
      </c>
      <c r="N621" s="5" t="s">
        <v>2301</v>
      </c>
      <c r="O621" s="5" t="s">
        <v>108</v>
      </c>
      <c r="P621" s="5" t="s">
        <v>26</v>
      </c>
      <c r="Q621" s="5" t="s">
        <v>34</v>
      </c>
      <c r="R621" s="5" t="str">
        <f>"0000"</f>
        <v>0000</v>
      </c>
      <c r="S621" s="5">
        <v>42.371744378607801</v>
      </c>
      <c r="T621" s="5">
        <v>-70.98360443</v>
      </c>
    </row>
    <row r="622" spans="1:20" x14ac:dyDescent="0.3">
      <c r="A622" s="5" t="s">
        <v>2302</v>
      </c>
      <c r="B622" s="6">
        <v>14511</v>
      </c>
      <c r="C622" s="6">
        <v>44588</v>
      </c>
      <c r="D622" s="5" t="s">
        <v>29</v>
      </c>
      <c r="E622" s="5" t="s">
        <v>2303</v>
      </c>
      <c r="F622" s="5" t="s">
        <v>1677</v>
      </c>
      <c r="G622" s="5" t="str">
        <f t="shared" si="176"/>
        <v>Not Available</v>
      </c>
      <c r="H622" s="5" t="str">
        <f>"Not Available"</f>
        <v>Not Available</v>
      </c>
      <c r="I622" s="5" t="s">
        <v>22</v>
      </c>
      <c r="J622" s="5" t="s">
        <v>3387</v>
      </c>
      <c r="K622" s="5" t="s">
        <v>3394</v>
      </c>
      <c r="L622" s="5" t="s">
        <v>22</v>
      </c>
      <c r="M622" s="5" t="s">
        <v>3548</v>
      </c>
      <c r="N622" s="5" t="s">
        <v>2304</v>
      </c>
      <c r="O622" s="5" t="s">
        <v>33</v>
      </c>
      <c r="P622" s="5" t="s">
        <v>26</v>
      </c>
      <c r="Q622" s="5" t="s">
        <v>34</v>
      </c>
      <c r="R622" s="5">
        <v>2129</v>
      </c>
      <c r="S622" s="5">
        <v>42.388440680000002</v>
      </c>
      <c r="T622" s="5">
        <v>-71.055866449999996</v>
      </c>
    </row>
    <row r="623" spans="1:20" x14ac:dyDescent="0.3">
      <c r="A623" s="5" t="s">
        <v>2305</v>
      </c>
      <c r="B623" s="6">
        <v>28637</v>
      </c>
      <c r="C623" s="6" t="str">
        <f>"Active/Unavailable"</f>
        <v>Active/Unavailable</v>
      </c>
      <c r="D623" s="5" t="s">
        <v>18</v>
      </c>
      <c r="E623" s="5" t="s">
        <v>2306</v>
      </c>
      <c r="F623" s="5" t="s">
        <v>91</v>
      </c>
      <c r="G623" s="5" t="str">
        <f t="shared" si="176"/>
        <v>Not Available</v>
      </c>
      <c r="H623" s="5" t="s">
        <v>1902</v>
      </c>
      <c r="I623" s="5" t="s">
        <v>22</v>
      </c>
      <c r="J623" s="5" t="s">
        <v>3387</v>
      </c>
      <c r="K623" s="5" t="s">
        <v>3393</v>
      </c>
      <c r="L623" s="5" t="s">
        <v>23</v>
      </c>
      <c r="M623" s="5" t="s">
        <v>3513</v>
      </c>
      <c r="N623" s="5" t="s">
        <v>3704</v>
      </c>
      <c r="O623" s="5" t="s">
        <v>209</v>
      </c>
      <c r="P623" s="5" t="s">
        <v>26</v>
      </c>
      <c r="Q623" s="5" t="s">
        <v>27</v>
      </c>
      <c r="R623" s="5" t="str">
        <f>"0000"</f>
        <v>0000</v>
      </c>
      <c r="S623" s="5">
        <v>42.2531559647786</v>
      </c>
      <c r="T623" s="5">
        <v>-70.915048560000002</v>
      </c>
    </row>
    <row r="624" spans="1:20" x14ac:dyDescent="0.3">
      <c r="A624" s="5" t="s">
        <v>2307</v>
      </c>
      <c r="B624" s="6">
        <v>11265</v>
      </c>
      <c r="C624" s="6">
        <v>44174</v>
      </c>
      <c r="D624" s="5" t="s">
        <v>18</v>
      </c>
      <c r="E624" s="5" t="s">
        <v>2308</v>
      </c>
      <c r="F624" s="5" t="s">
        <v>139</v>
      </c>
      <c r="G624" s="5" t="str">
        <f t="shared" si="176"/>
        <v>Not Available</v>
      </c>
      <c r="H624" s="5" t="s">
        <v>581</v>
      </c>
      <c r="I624" s="5" t="s">
        <v>22</v>
      </c>
      <c r="J624" s="5" t="s">
        <v>3388</v>
      </c>
      <c r="K624" s="5" t="s">
        <v>3393</v>
      </c>
      <c r="L624" s="5" t="s">
        <v>23</v>
      </c>
      <c r="M624" s="5" t="s">
        <v>3508</v>
      </c>
      <c r="N624" s="5" t="s">
        <v>2309</v>
      </c>
      <c r="O624" s="5" t="s">
        <v>172</v>
      </c>
      <c r="P624" s="5" t="s">
        <v>26</v>
      </c>
      <c r="Q624" s="5" t="s">
        <v>34</v>
      </c>
      <c r="R624" s="5">
        <v>2149</v>
      </c>
      <c r="S624" s="5">
        <v>42.356896105994601</v>
      </c>
      <c r="T624" s="5">
        <v>-71.006827659999999</v>
      </c>
    </row>
    <row r="625" spans="1:20" x14ac:dyDescent="0.3">
      <c r="A625" s="5" t="s">
        <v>2310</v>
      </c>
      <c r="B625" s="6">
        <v>14511</v>
      </c>
      <c r="C625" s="6" t="str">
        <f>"Active/Unavailable"</f>
        <v>Active/Unavailable</v>
      </c>
      <c r="D625" s="5" t="s">
        <v>29</v>
      </c>
      <c r="E625" s="5" t="s">
        <v>2311</v>
      </c>
      <c r="F625" s="5" t="s">
        <v>464</v>
      </c>
      <c r="G625" s="5" t="str">
        <f t="shared" si="176"/>
        <v>Not Available</v>
      </c>
      <c r="H625" s="5" t="str">
        <f>"Not Available"</f>
        <v>Not Available</v>
      </c>
      <c r="I625" s="5" t="s">
        <v>22</v>
      </c>
      <c r="J625" s="5" t="s">
        <v>3387</v>
      </c>
      <c r="K625" s="5" t="s">
        <v>3394</v>
      </c>
      <c r="L625" s="5" t="s">
        <v>22</v>
      </c>
      <c r="M625" s="5" t="s">
        <v>3525</v>
      </c>
      <c r="N625" s="5" t="s">
        <v>2312</v>
      </c>
      <c r="O625" s="5" t="s">
        <v>33</v>
      </c>
      <c r="P625" s="5" t="s">
        <v>26</v>
      </c>
      <c r="Q625" s="5" t="s">
        <v>34</v>
      </c>
      <c r="R625" s="5">
        <v>2121</v>
      </c>
      <c r="S625" s="5">
        <v>42.348249515878003</v>
      </c>
      <c r="T625" s="5">
        <v>-71.085971819999997</v>
      </c>
    </row>
    <row r="626" spans="1:20" x14ac:dyDescent="0.3">
      <c r="A626" s="5" t="s">
        <v>2313</v>
      </c>
      <c r="B626" s="6">
        <v>11265</v>
      </c>
      <c r="C626" s="6">
        <v>41393</v>
      </c>
      <c r="D626" s="5" t="s">
        <v>18</v>
      </c>
      <c r="E626" s="5" t="s">
        <v>2314</v>
      </c>
      <c r="F626" s="5" t="s">
        <v>2102</v>
      </c>
      <c r="G626" s="5" t="str">
        <f t="shared" si="176"/>
        <v>Not Available</v>
      </c>
      <c r="H626" s="5" t="s">
        <v>2097</v>
      </c>
      <c r="I626" s="5" t="s">
        <v>22</v>
      </c>
      <c r="J626" s="5" t="s">
        <v>3388</v>
      </c>
      <c r="K626" s="5" t="s">
        <v>3393</v>
      </c>
      <c r="L626" s="5" t="s">
        <v>23</v>
      </c>
      <c r="M626" s="5" t="s">
        <v>3484</v>
      </c>
      <c r="N626" s="5" t="s">
        <v>2315</v>
      </c>
      <c r="O626" s="5" t="s">
        <v>172</v>
      </c>
      <c r="P626" s="5" t="s">
        <v>26</v>
      </c>
      <c r="Q626" s="5" t="s">
        <v>34</v>
      </c>
      <c r="R626" s="5">
        <v>2150</v>
      </c>
      <c r="S626" s="5">
        <v>42.388132761978298</v>
      </c>
      <c r="T626" s="5">
        <v>-70.964852530000002</v>
      </c>
    </row>
    <row r="627" spans="1:20" x14ac:dyDescent="0.3">
      <c r="A627" s="5" t="s">
        <v>2316</v>
      </c>
      <c r="B627" s="6">
        <v>11265</v>
      </c>
      <c r="C627" s="6" t="str">
        <f t="shared" ref="C627:C629" si="179">"Active/Unavailable"</f>
        <v>Active/Unavailable</v>
      </c>
      <c r="D627" s="5" t="s">
        <v>18</v>
      </c>
      <c r="E627" s="5" t="s">
        <v>2317</v>
      </c>
      <c r="F627" s="5" t="s">
        <v>2318</v>
      </c>
      <c r="G627" s="5" t="str">
        <f t="shared" si="176"/>
        <v>Not Available</v>
      </c>
      <c r="H627" s="5" t="s">
        <v>116</v>
      </c>
      <c r="I627" s="5" t="s">
        <v>22</v>
      </c>
      <c r="J627" s="5" t="s">
        <v>3388</v>
      </c>
      <c r="K627" s="5" t="s">
        <v>3393</v>
      </c>
      <c r="L627" s="5" t="s">
        <v>23</v>
      </c>
      <c r="M627" s="5" t="s">
        <v>3447</v>
      </c>
      <c r="N627" s="5" t="s">
        <v>2319</v>
      </c>
      <c r="O627" s="5" t="s">
        <v>172</v>
      </c>
      <c r="P627" s="5" t="s">
        <v>26</v>
      </c>
      <c r="Q627" s="5" t="s">
        <v>34</v>
      </c>
      <c r="R627" s="5">
        <v>2151</v>
      </c>
      <c r="S627" s="5">
        <v>42.374487135628499</v>
      </c>
      <c r="T627" s="5">
        <v>-70.978281190000004</v>
      </c>
    </row>
    <row r="628" spans="1:20" x14ac:dyDescent="0.3">
      <c r="A628" s="5" t="s">
        <v>2320</v>
      </c>
      <c r="B628" s="6">
        <v>32947</v>
      </c>
      <c r="C628" s="6" t="str">
        <f t="shared" si="179"/>
        <v>Active/Unavailable</v>
      </c>
      <c r="D628" s="5" t="s">
        <v>29</v>
      </c>
      <c r="E628" s="5" t="s">
        <v>433</v>
      </c>
      <c r="F628" s="5" t="s">
        <v>1593</v>
      </c>
      <c r="G628" s="5" t="str">
        <f t="shared" si="176"/>
        <v>Not Available</v>
      </c>
      <c r="H628" s="5" t="str">
        <f t="shared" ref="H628:H629" si="180">"Not Available"</f>
        <v>Not Available</v>
      </c>
      <c r="I628" s="5" t="s">
        <v>22</v>
      </c>
      <c r="J628" s="5" t="s">
        <v>3387</v>
      </c>
      <c r="K628" s="5" t="s">
        <v>3393</v>
      </c>
      <c r="L628" s="5" t="s">
        <v>22</v>
      </c>
      <c r="M628" s="5" t="s">
        <v>3400</v>
      </c>
      <c r="N628" s="5" t="s">
        <v>2321</v>
      </c>
      <c r="O628" s="5" t="s">
        <v>33</v>
      </c>
      <c r="P628" s="5" t="s">
        <v>26</v>
      </c>
      <c r="Q628" s="5" t="s">
        <v>34</v>
      </c>
      <c r="R628" s="5">
        <v>2114</v>
      </c>
      <c r="S628" s="5">
        <v>42.327042873472699</v>
      </c>
      <c r="T628" s="5">
        <v>-71.020713349999994</v>
      </c>
    </row>
    <row r="629" spans="1:20" x14ac:dyDescent="0.3">
      <c r="A629" s="5" t="s">
        <v>2322</v>
      </c>
      <c r="B629" s="6">
        <v>24112</v>
      </c>
      <c r="C629" s="6" t="str">
        <f t="shared" si="179"/>
        <v>Active/Unavailable</v>
      </c>
      <c r="D629" s="5" t="s">
        <v>29</v>
      </c>
      <c r="E629" s="5" t="s">
        <v>522</v>
      </c>
      <c r="F629" s="5" t="s">
        <v>1575</v>
      </c>
      <c r="G629" s="5" t="str">
        <f t="shared" si="176"/>
        <v>Not Available</v>
      </c>
      <c r="H629" s="5" t="str">
        <f t="shared" si="180"/>
        <v>Not Available</v>
      </c>
      <c r="I629" s="5" t="s">
        <v>22</v>
      </c>
      <c r="J629" s="5" t="s">
        <v>3389</v>
      </c>
      <c r="K629" s="5" t="s">
        <v>3394</v>
      </c>
      <c r="L629" s="5" t="s">
        <v>22</v>
      </c>
      <c r="M629" s="5" t="s">
        <v>3557</v>
      </c>
      <c r="N629" s="5" t="s">
        <v>2323</v>
      </c>
      <c r="O629" s="5" t="s">
        <v>33</v>
      </c>
      <c r="P629" s="5" t="s">
        <v>26</v>
      </c>
      <c r="Q629" s="5" t="s">
        <v>34</v>
      </c>
      <c r="R629" s="5">
        <v>2152</v>
      </c>
      <c r="S629" s="5">
        <v>42.346624771119401</v>
      </c>
      <c r="T629" s="5">
        <v>-71.160586870000003</v>
      </c>
    </row>
    <row r="630" spans="1:20" x14ac:dyDescent="0.3">
      <c r="A630" s="5" t="s">
        <v>2324</v>
      </c>
      <c r="B630" s="6">
        <v>11986</v>
      </c>
      <c r="C630" s="6">
        <v>41953</v>
      </c>
      <c r="D630" s="5" t="s">
        <v>18</v>
      </c>
      <c r="E630" s="5" t="s">
        <v>1032</v>
      </c>
      <c r="F630" s="5" t="s">
        <v>3374</v>
      </c>
      <c r="G630" s="5" t="str">
        <f t="shared" si="176"/>
        <v>Not Available</v>
      </c>
      <c r="H630" s="5" t="s">
        <v>2325</v>
      </c>
      <c r="I630" s="5" t="s">
        <v>22</v>
      </c>
      <c r="J630" s="5" t="s">
        <v>3389</v>
      </c>
      <c r="K630" s="5" t="s">
        <v>3394</v>
      </c>
      <c r="L630" s="5" t="s">
        <v>23</v>
      </c>
      <c r="M630" s="5" t="s">
        <v>3504</v>
      </c>
      <c r="N630" s="5" t="s">
        <v>2326</v>
      </c>
      <c r="O630" s="5" t="s">
        <v>33</v>
      </c>
      <c r="P630" s="5" t="s">
        <v>26</v>
      </c>
      <c r="Q630" s="5" t="s">
        <v>34</v>
      </c>
      <c r="R630" s="5">
        <v>2126</v>
      </c>
      <c r="S630" s="5">
        <v>42.320604865998398</v>
      </c>
      <c r="T630" s="5">
        <v>-71.034389489999995</v>
      </c>
    </row>
    <row r="631" spans="1:20" x14ac:dyDescent="0.3">
      <c r="A631" s="5" t="s">
        <v>2327</v>
      </c>
      <c r="B631" s="6">
        <v>11447</v>
      </c>
      <c r="C631" s="6" t="str">
        <f t="shared" ref="C631:C636" si="181">"Active/Unavailable"</f>
        <v>Active/Unavailable</v>
      </c>
      <c r="D631" s="5" t="s">
        <v>18</v>
      </c>
      <c r="E631" s="5" t="s">
        <v>2328</v>
      </c>
      <c r="F631" s="5" t="s">
        <v>1654</v>
      </c>
      <c r="G631" s="5" t="str">
        <f t="shared" si="176"/>
        <v>Not Available</v>
      </c>
      <c r="H631" s="5" t="s">
        <v>1386</v>
      </c>
      <c r="I631" s="5" t="s">
        <v>22</v>
      </c>
      <c r="J631" s="5" t="s">
        <v>3387</v>
      </c>
      <c r="K631" s="5" t="s">
        <v>3393</v>
      </c>
      <c r="L631" s="5" t="s">
        <v>23</v>
      </c>
      <c r="M631" s="5" t="s">
        <v>3400</v>
      </c>
      <c r="N631" s="5" t="s">
        <v>2329</v>
      </c>
      <c r="O631" s="5" t="s">
        <v>587</v>
      </c>
      <c r="P631" s="5" t="s">
        <v>26</v>
      </c>
      <c r="Q631" s="5" t="s">
        <v>27</v>
      </c>
      <c r="R631" s="5" t="str">
        <f t="shared" ref="R631:R632" si="182">"0000"</f>
        <v>0000</v>
      </c>
      <c r="S631" s="5">
        <v>42.229427004079099</v>
      </c>
      <c r="T631" s="5">
        <v>-70.960569050000004</v>
      </c>
    </row>
    <row r="632" spans="1:20" x14ac:dyDescent="0.3">
      <c r="A632" s="5" t="s">
        <v>2330</v>
      </c>
      <c r="B632" s="6">
        <v>10290</v>
      </c>
      <c r="C632" s="6" t="str">
        <f t="shared" si="181"/>
        <v>Active/Unavailable</v>
      </c>
      <c r="D632" s="5" t="s">
        <v>18</v>
      </c>
      <c r="E632" s="5" t="s">
        <v>2331</v>
      </c>
      <c r="F632" s="5" t="s">
        <v>541</v>
      </c>
      <c r="G632" s="5" t="str">
        <f t="shared" si="176"/>
        <v>Not Available</v>
      </c>
      <c r="H632" s="5" t="s">
        <v>2332</v>
      </c>
      <c r="I632" s="5" t="s">
        <v>22</v>
      </c>
      <c r="J632" s="5" t="s">
        <v>3387</v>
      </c>
      <c r="K632" s="5" t="s">
        <v>3393</v>
      </c>
      <c r="L632" s="5" t="s">
        <v>23</v>
      </c>
      <c r="M632" s="5" t="s">
        <v>3400</v>
      </c>
      <c r="N632" s="5" t="s">
        <v>2333</v>
      </c>
      <c r="O632" s="5" t="s">
        <v>25</v>
      </c>
      <c r="P632" s="5" t="s">
        <v>26</v>
      </c>
      <c r="Q632" s="5" t="s">
        <v>27</v>
      </c>
      <c r="R632" s="5" t="str">
        <f t="shared" si="182"/>
        <v>0000</v>
      </c>
      <c r="S632" s="5">
        <v>42.326369083867696</v>
      </c>
      <c r="T632" s="5">
        <v>-70.987563949999995</v>
      </c>
    </row>
    <row r="633" spans="1:20" x14ac:dyDescent="0.3">
      <c r="A633" s="5" t="s">
        <v>2334</v>
      </c>
      <c r="B633" s="6">
        <v>20754</v>
      </c>
      <c r="C633" s="6" t="str">
        <f t="shared" si="181"/>
        <v>Active/Unavailable</v>
      </c>
      <c r="D633" s="5" t="s">
        <v>29</v>
      </c>
      <c r="E633" s="5" t="s">
        <v>2335</v>
      </c>
      <c r="F633" s="5" t="s">
        <v>73</v>
      </c>
      <c r="G633" s="5" t="str">
        <f t="shared" si="176"/>
        <v>Not Available</v>
      </c>
      <c r="H633" s="5" t="str">
        <f t="shared" ref="H633:H637" si="183">"Not Available"</f>
        <v>Not Available</v>
      </c>
      <c r="I633" s="5" t="s">
        <v>22</v>
      </c>
      <c r="J633" s="5" t="s">
        <v>3387</v>
      </c>
      <c r="K633" s="5" t="s">
        <v>3393</v>
      </c>
      <c r="L633" s="5" t="s">
        <v>22</v>
      </c>
      <c r="M633" s="5" t="s">
        <v>3642</v>
      </c>
      <c r="N633" s="5" t="s">
        <v>2336</v>
      </c>
      <c r="O633" s="5" t="s">
        <v>33</v>
      </c>
      <c r="P633" s="5" t="s">
        <v>26</v>
      </c>
      <c r="Q633" s="5" t="s">
        <v>34</v>
      </c>
      <c r="R633" s="5">
        <v>2125</v>
      </c>
      <c r="S633" s="5">
        <v>42.319179116550004</v>
      </c>
      <c r="T633" s="5">
        <v>-71.037932589999997</v>
      </c>
    </row>
    <row r="634" spans="1:20" x14ac:dyDescent="0.3">
      <c r="A634" s="5" t="s">
        <v>2337</v>
      </c>
      <c r="B634" s="6">
        <v>25338</v>
      </c>
      <c r="C634" s="6" t="str">
        <f t="shared" si="181"/>
        <v>Active/Unavailable</v>
      </c>
      <c r="D634" s="5" t="s">
        <v>100</v>
      </c>
      <c r="E634" s="5" t="s">
        <v>2338</v>
      </c>
      <c r="F634" s="5" t="s">
        <v>2210</v>
      </c>
      <c r="G634" s="5" t="str">
        <f t="shared" si="176"/>
        <v>Not Available</v>
      </c>
      <c r="H634" s="5" t="str">
        <f t="shared" si="183"/>
        <v>Not Available</v>
      </c>
      <c r="I634" s="5" t="s">
        <v>65</v>
      </c>
      <c r="J634" s="5" t="s">
        <v>3387</v>
      </c>
      <c r="K634" s="5" t="s">
        <v>3393</v>
      </c>
      <c r="L634" s="5" t="s">
        <v>23</v>
      </c>
      <c r="M634" s="5" t="s">
        <v>3411</v>
      </c>
      <c r="N634" s="5" t="s">
        <v>2339</v>
      </c>
      <c r="O634" s="5" t="s">
        <v>145</v>
      </c>
      <c r="P634" s="5" t="s">
        <v>26</v>
      </c>
      <c r="Q634" s="5" t="s">
        <v>57</v>
      </c>
      <c r="R634" s="5" t="str">
        <f t="shared" ref="R634:R635" si="184">"0000"</f>
        <v>0000</v>
      </c>
      <c r="S634" s="5">
        <v>42.358862729930799</v>
      </c>
      <c r="T634" s="5">
        <v>-71.044531320000004</v>
      </c>
    </row>
    <row r="635" spans="1:20" x14ac:dyDescent="0.3">
      <c r="A635" s="5" t="s">
        <v>2340</v>
      </c>
      <c r="B635" s="6">
        <v>30110</v>
      </c>
      <c r="C635" s="6" t="str">
        <f t="shared" si="181"/>
        <v>Active/Unavailable</v>
      </c>
      <c r="D635" s="5" t="s">
        <v>100</v>
      </c>
      <c r="E635" s="5" t="s">
        <v>2341</v>
      </c>
      <c r="F635" s="5" t="s">
        <v>2002</v>
      </c>
      <c r="G635" s="5" t="str">
        <f t="shared" si="176"/>
        <v>Not Available</v>
      </c>
      <c r="H635" s="5" t="str">
        <f t="shared" si="183"/>
        <v>Not Available</v>
      </c>
      <c r="I635" s="5" t="s">
        <v>65</v>
      </c>
      <c r="J635" s="5" t="s">
        <v>3387</v>
      </c>
      <c r="K635" s="5" t="s">
        <v>3393</v>
      </c>
      <c r="L635" s="5" t="s">
        <v>23</v>
      </c>
      <c r="M635" s="5" t="s">
        <v>3410</v>
      </c>
      <c r="N635" s="5" t="s">
        <v>2342</v>
      </c>
      <c r="O635" s="5" t="s">
        <v>807</v>
      </c>
      <c r="P635" s="5" t="s">
        <v>26</v>
      </c>
      <c r="Q635" s="5" t="s">
        <v>317</v>
      </c>
      <c r="R635" s="5" t="str">
        <f t="shared" si="184"/>
        <v>0000</v>
      </c>
      <c r="S635" s="5">
        <v>42.254894637185501</v>
      </c>
      <c r="T635" s="5">
        <v>-70.741647459999996</v>
      </c>
    </row>
    <row r="636" spans="1:20" x14ac:dyDescent="0.3">
      <c r="A636" s="5" t="s">
        <v>2343</v>
      </c>
      <c r="B636" s="6">
        <v>22582</v>
      </c>
      <c r="C636" s="6" t="str">
        <f t="shared" si="181"/>
        <v>Active/Unavailable</v>
      </c>
      <c r="D636" s="5" t="s">
        <v>29</v>
      </c>
      <c r="E636" s="5" t="s">
        <v>2344</v>
      </c>
      <c r="F636" s="5" t="s">
        <v>617</v>
      </c>
      <c r="G636" s="5" t="str">
        <f t="shared" si="176"/>
        <v>Not Available</v>
      </c>
      <c r="H636" s="5" t="str">
        <f t="shared" si="183"/>
        <v>Not Available</v>
      </c>
      <c r="I636" s="5" t="s">
        <v>65</v>
      </c>
      <c r="J636" s="5" t="s">
        <v>3387</v>
      </c>
      <c r="K636" s="5" t="s">
        <v>3394</v>
      </c>
      <c r="L636" s="5" t="s">
        <v>22</v>
      </c>
      <c r="M636" s="5" t="s">
        <v>3528</v>
      </c>
      <c r="N636" s="5" t="s">
        <v>2345</v>
      </c>
      <c r="O636" s="5" t="s">
        <v>33</v>
      </c>
      <c r="P636" s="5" t="s">
        <v>26</v>
      </c>
      <c r="Q636" s="5" t="s">
        <v>34</v>
      </c>
      <c r="R636" s="5">
        <v>2119</v>
      </c>
      <c r="S636" s="5">
        <v>42.362437833492898</v>
      </c>
      <c r="T636" s="5">
        <v>-71.021951220000005</v>
      </c>
    </row>
    <row r="637" spans="1:20" x14ac:dyDescent="0.3">
      <c r="A637" s="5" t="s">
        <v>2346</v>
      </c>
      <c r="B637" s="6">
        <v>11366</v>
      </c>
      <c r="C637" s="6">
        <v>42124</v>
      </c>
      <c r="D637" s="5" t="s">
        <v>29</v>
      </c>
      <c r="E637" s="5" t="s">
        <v>2347</v>
      </c>
      <c r="F637" s="5" t="s">
        <v>2179</v>
      </c>
      <c r="G637" s="5" t="str">
        <f t="shared" ref="G637:G663" si="185">"Not Available"</f>
        <v>Not Available</v>
      </c>
      <c r="H637" s="5" t="str">
        <f t="shared" si="183"/>
        <v>Not Available</v>
      </c>
      <c r="I637" s="5" t="s">
        <v>22</v>
      </c>
      <c r="J637" s="5" t="s">
        <v>3387</v>
      </c>
      <c r="K637" s="5" t="s">
        <v>3393</v>
      </c>
      <c r="L637" s="5" t="s">
        <v>22</v>
      </c>
      <c r="M637" s="5" t="s">
        <v>3395</v>
      </c>
      <c r="N637" s="5" t="s">
        <v>2348</v>
      </c>
      <c r="O637" s="5" t="s">
        <v>587</v>
      </c>
      <c r="P637" s="5" t="s">
        <v>26</v>
      </c>
      <c r="Q637" s="5" t="s">
        <v>27</v>
      </c>
      <c r="R637" s="5">
        <v>2184</v>
      </c>
      <c r="S637" s="5">
        <v>42.241423618825898</v>
      </c>
      <c r="T637" s="5">
        <v>-70.962750639999996</v>
      </c>
    </row>
    <row r="638" spans="1:20" x14ac:dyDescent="0.3">
      <c r="A638" s="5" t="s">
        <v>2349</v>
      </c>
      <c r="B638" s="6">
        <v>17847</v>
      </c>
      <c r="C638" s="6" t="str">
        <f t="shared" ref="C638:C643" si="186">"Active/Unavailable"</f>
        <v>Active/Unavailable</v>
      </c>
      <c r="D638" s="5" t="s">
        <v>18</v>
      </c>
      <c r="E638" s="5" t="s">
        <v>721</v>
      </c>
      <c r="F638" s="5" t="s">
        <v>2350</v>
      </c>
      <c r="G638" s="5" t="str">
        <f t="shared" si="185"/>
        <v>Not Available</v>
      </c>
      <c r="H638" s="5" t="s">
        <v>1071</v>
      </c>
      <c r="I638" s="5" t="s">
        <v>22</v>
      </c>
      <c r="J638" s="5" t="s">
        <v>3387</v>
      </c>
      <c r="K638" s="5" t="s">
        <v>3394</v>
      </c>
      <c r="L638" s="5" t="s">
        <v>23</v>
      </c>
      <c r="M638" s="5" t="s">
        <v>3511</v>
      </c>
      <c r="N638" s="5" t="s">
        <v>2351</v>
      </c>
      <c r="O638" s="5" t="s">
        <v>33</v>
      </c>
      <c r="P638" s="5" t="s">
        <v>26</v>
      </c>
      <c r="Q638" s="5" t="s">
        <v>34</v>
      </c>
      <c r="R638" s="5">
        <v>2131</v>
      </c>
      <c r="S638" s="5">
        <v>42.374209096754598</v>
      </c>
      <c r="T638" s="5">
        <v>-71.015659769999999</v>
      </c>
    </row>
    <row r="639" spans="1:20" x14ac:dyDescent="0.3">
      <c r="A639" s="5" t="s">
        <v>2352</v>
      </c>
      <c r="B639" s="6">
        <v>19470</v>
      </c>
      <c r="C639" s="6" t="str">
        <f t="shared" si="186"/>
        <v>Active/Unavailable</v>
      </c>
      <c r="D639" s="5" t="s">
        <v>100</v>
      </c>
      <c r="E639" s="5" t="s">
        <v>2353</v>
      </c>
      <c r="F639" s="5" t="s">
        <v>1143</v>
      </c>
      <c r="G639" s="5" t="str">
        <f t="shared" si="185"/>
        <v>Not Available</v>
      </c>
      <c r="H639" s="5" t="str">
        <f t="shared" ref="H639:H640" si="187">"Not Available"</f>
        <v>Not Available</v>
      </c>
      <c r="I639" s="5" t="s">
        <v>65</v>
      </c>
      <c r="J639" s="5" t="s">
        <v>3389</v>
      </c>
      <c r="K639" s="5" t="s">
        <v>3393</v>
      </c>
      <c r="L639" s="5" t="s">
        <v>23</v>
      </c>
      <c r="M639" s="5" t="s">
        <v>3643</v>
      </c>
      <c r="N639" s="5" t="s">
        <v>2354</v>
      </c>
      <c r="O639" s="5" t="s">
        <v>33</v>
      </c>
      <c r="P639" s="5" t="s">
        <v>26</v>
      </c>
      <c r="Q639" s="5" t="s">
        <v>34</v>
      </c>
      <c r="R639" s="5">
        <v>2113</v>
      </c>
      <c r="S639" s="5">
        <v>42.350495162213598</v>
      </c>
      <c r="T639" s="5">
        <v>-71.064014099999994</v>
      </c>
    </row>
    <row r="640" spans="1:20" x14ac:dyDescent="0.3">
      <c r="A640" s="5" t="s">
        <v>2355</v>
      </c>
      <c r="B640" s="6">
        <v>28337</v>
      </c>
      <c r="C640" s="6" t="str">
        <f t="shared" si="186"/>
        <v>Active/Unavailable</v>
      </c>
      <c r="D640" s="5" t="s">
        <v>29</v>
      </c>
      <c r="E640" s="5" t="s">
        <v>2356</v>
      </c>
      <c r="F640" s="5" t="s">
        <v>2357</v>
      </c>
      <c r="G640" s="5" t="str">
        <f t="shared" si="185"/>
        <v>Not Available</v>
      </c>
      <c r="H640" s="5" t="str">
        <f t="shared" si="187"/>
        <v>Not Available</v>
      </c>
      <c r="I640" s="5" t="s">
        <v>22</v>
      </c>
      <c r="J640" s="5" t="s">
        <v>3387</v>
      </c>
      <c r="K640" s="5" t="s">
        <v>3393</v>
      </c>
      <c r="L640" s="5" t="s">
        <v>22</v>
      </c>
      <c r="M640" s="5" t="s">
        <v>3547</v>
      </c>
      <c r="N640" s="5" t="s">
        <v>2358</v>
      </c>
      <c r="O640" s="5" t="s">
        <v>25</v>
      </c>
      <c r="P640" s="5" t="s">
        <v>26</v>
      </c>
      <c r="Q640" s="5" t="s">
        <v>27</v>
      </c>
      <c r="R640" s="5">
        <v>2169</v>
      </c>
      <c r="S640" s="5">
        <v>42.314916978216999</v>
      </c>
      <c r="T640" s="5">
        <v>-71.044832920000005</v>
      </c>
    </row>
    <row r="641" spans="1:20" x14ac:dyDescent="0.3">
      <c r="A641" s="7" t="s">
        <v>2359</v>
      </c>
      <c r="B641" s="6">
        <v>21499</v>
      </c>
      <c r="C641" s="6" t="str">
        <f t="shared" si="186"/>
        <v>Active/Unavailable</v>
      </c>
      <c r="D641" s="5" t="s">
        <v>18</v>
      </c>
      <c r="E641" s="5" t="s">
        <v>2360</v>
      </c>
      <c r="F641" s="5" t="s">
        <v>1253</v>
      </c>
      <c r="G641" s="5" t="str">
        <f t="shared" si="185"/>
        <v>Not Available</v>
      </c>
      <c r="H641" s="5" t="s">
        <v>1902</v>
      </c>
      <c r="I641" s="5" t="s">
        <v>22</v>
      </c>
      <c r="J641" s="5" t="s">
        <v>3387</v>
      </c>
      <c r="K641" s="5" t="s">
        <v>3393</v>
      </c>
      <c r="L641" s="5" t="s">
        <v>23</v>
      </c>
      <c r="M641" s="5" t="s">
        <v>3526</v>
      </c>
      <c r="N641" s="5" t="s">
        <v>2361</v>
      </c>
      <c r="O641" s="5" t="s">
        <v>33</v>
      </c>
      <c r="P641" s="5" t="s">
        <v>26</v>
      </c>
      <c r="Q641" s="5" t="s">
        <v>34</v>
      </c>
      <c r="R641" s="5">
        <v>2124</v>
      </c>
      <c r="S641" s="5">
        <v>42.341855322929099</v>
      </c>
      <c r="T641" s="5">
        <v>-71.073096849999999</v>
      </c>
    </row>
    <row r="642" spans="1:20" x14ac:dyDescent="0.3">
      <c r="A642" s="5" t="s">
        <v>2362</v>
      </c>
      <c r="B642" s="6">
        <v>18722</v>
      </c>
      <c r="C642" s="6" t="str">
        <f t="shared" si="186"/>
        <v>Active/Unavailable</v>
      </c>
      <c r="D642" s="5" t="s">
        <v>29</v>
      </c>
      <c r="E642" s="5" t="s">
        <v>2363</v>
      </c>
      <c r="F642" s="5" t="s">
        <v>290</v>
      </c>
      <c r="G642" s="5" t="str">
        <f t="shared" si="185"/>
        <v>Not Available</v>
      </c>
      <c r="H642" s="5" t="str">
        <f>"Not Available"</f>
        <v>Not Available</v>
      </c>
      <c r="I642" s="5" t="s">
        <v>22</v>
      </c>
      <c r="J642" s="5" t="s">
        <v>3389</v>
      </c>
      <c r="K642" s="5" t="s">
        <v>3393</v>
      </c>
      <c r="L642" s="5" t="s">
        <v>22</v>
      </c>
      <c r="M642" s="5" t="s">
        <v>3402</v>
      </c>
      <c r="N642" s="5" t="s">
        <v>2364</v>
      </c>
      <c r="O642" s="5" t="s">
        <v>33</v>
      </c>
      <c r="P642" s="5" t="s">
        <v>26</v>
      </c>
      <c r="Q642" s="5" t="s">
        <v>34</v>
      </c>
      <c r="R642" s="5">
        <v>2111</v>
      </c>
      <c r="S642" s="5">
        <v>42.324883694683798</v>
      </c>
      <c r="T642" s="5">
        <v>-71.144120549999997</v>
      </c>
    </row>
    <row r="643" spans="1:20" x14ac:dyDescent="0.3">
      <c r="A643" s="5" t="s">
        <v>2365</v>
      </c>
      <c r="B643" s="6">
        <v>15983</v>
      </c>
      <c r="C643" s="6" t="str">
        <f t="shared" si="186"/>
        <v>Active/Unavailable</v>
      </c>
      <c r="D643" s="5" t="s">
        <v>18</v>
      </c>
      <c r="E643" s="5" t="s">
        <v>2366</v>
      </c>
      <c r="F643" s="5" t="s">
        <v>601</v>
      </c>
      <c r="G643" s="5" t="str">
        <f t="shared" si="185"/>
        <v>Not Available</v>
      </c>
      <c r="H643" s="5" t="s">
        <v>2043</v>
      </c>
      <c r="I643" s="5" t="s">
        <v>22</v>
      </c>
      <c r="J643" s="5" t="s">
        <v>3392</v>
      </c>
      <c r="K643" s="5" t="s">
        <v>3393</v>
      </c>
      <c r="L643" s="5" t="s">
        <v>23</v>
      </c>
      <c r="M643" s="5" t="s">
        <v>3562</v>
      </c>
      <c r="N643" s="5" t="s">
        <v>2367</v>
      </c>
      <c r="O643" s="5" t="s">
        <v>33</v>
      </c>
      <c r="P643" s="5" t="s">
        <v>26</v>
      </c>
      <c r="Q643" s="5" t="s">
        <v>34</v>
      </c>
      <c r="R643" s="5">
        <v>2122</v>
      </c>
      <c r="S643" s="5">
        <v>42.327299506872002</v>
      </c>
      <c r="T643" s="5">
        <v>-71.031003010000006</v>
      </c>
    </row>
    <row r="644" spans="1:20" x14ac:dyDescent="0.3">
      <c r="A644" s="5" t="s">
        <v>2368</v>
      </c>
      <c r="B644" s="6">
        <v>13187</v>
      </c>
      <c r="C644" s="6">
        <v>43777</v>
      </c>
      <c r="D644" s="5" t="s">
        <v>29</v>
      </c>
      <c r="E644" s="5" t="s">
        <v>2369</v>
      </c>
      <c r="F644" s="5" t="s">
        <v>2370</v>
      </c>
      <c r="G644" s="5" t="str">
        <f t="shared" si="185"/>
        <v>Not Available</v>
      </c>
      <c r="H644" s="5" t="str">
        <f t="shared" ref="H644:H649" si="188">"Not Available"</f>
        <v>Not Available</v>
      </c>
      <c r="I644" s="5" t="s">
        <v>22</v>
      </c>
      <c r="J644" s="5" t="s">
        <v>3388</v>
      </c>
      <c r="K644" s="5" t="s">
        <v>3393</v>
      </c>
      <c r="L644" s="5" t="s">
        <v>22</v>
      </c>
      <c r="M644" s="5" t="s">
        <v>3433</v>
      </c>
      <c r="N644" s="5" t="s">
        <v>2371</v>
      </c>
      <c r="O644" s="5" t="s">
        <v>33</v>
      </c>
      <c r="P644" s="5" t="s">
        <v>26</v>
      </c>
      <c r="Q644" s="5" t="s">
        <v>34</v>
      </c>
      <c r="R644" s="5">
        <v>2128</v>
      </c>
      <c r="S644" s="5">
        <v>42.3611138237723</v>
      </c>
      <c r="T644" s="5">
        <v>-71.031373979999998</v>
      </c>
    </row>
    <row r="645" spans="1:20" x14ac:dyDescent="0.3">
      <c r="A645" s="5" t="s">
        <v>2372</v>
      </c>
      <c r="B645" s="6">
        <v>19300</v>
      </c>
      <c r="C645" s="6" t="str">
        <f>"Active/Unavailable"</f>
        <v>Active/Unavailable</v>
      </c>
      <c r="D645" s="5" t="s">
        <v>29</v>
      </c>
      <c r="E645" s="5" t="s">
        <v>2373</v>
      </c>
      <c r="F645" s="5" t="s">
        <v>2374</v>
      </c>
      <c r="G645" s="5" t="str">
        <f t="shared" si="185"/>
        <v>Not Available</v>
      </c>
      <c r="H645" s="5" t="str">
        <f t="shared" si="188"/>
        <v>Not Available</v>
      </c>
      <c r="I645" s="5" t="s">
        <v>22</v>
      </c>
      <c r="J645" s="5" t="s">
        <v>3387</v>
      </c>
      <c r="K645" s="5" t="s">
        <v>3393</v>
      </c>
      <c r="L645" s="5" t="s">
        <v>22</v>
      </c>
      <c r="M645" s="5" t="s">
        <v>3442</v>
      </c>
      <c r="N645" s="5" t="s">
        <v>2375</v>
      </c>
      <c r="O645" s="5" t="s">
        <v>33</v>
      </c>
      <c r="P645" s="5" t="s">
        <v>26</v>
      </c>
      <c r="Q645" s="5" t="s">
        <v>34</v>
      </c>
      <c r="R645" s="5">
        <v>2203</v>
      </c>
      <c r="S645" s="5">
        <v>42.376159676815703</v>
      </c>
      <c r="T645" s="5">
        <v>-71.052651490000002</v>
      </c>
    </row>
    <row r="646" spans="1:20" x14ac:dyDescent="0.3">
      <c r="A646" s="5" t="s">
        <v>2376</v>
      </c>
      <c r="B646" s="6">
        <v>12015</v>
      </c>
      <c r="C646" s="6">
        <v>42985</v>
      </c>
      <c r="D646" s="5" t="s">
        <v>29</v>
      </c>
      <c r="E646" s="5" t="s">
        <v>884</v>
      </c>
      <c r="F646" s="5" t="s">
        <v>1152</v>
      </c>
      <c r="G646" s="5" t="str">
        <f t="shared" si="185"/>
        <v>Not Available</v>
      </c>
      <c r="H646" s="5" t="str">
        <f t="shared" si="188"/>
        <v>Not Available</v>
      </c>
      <c r="I646" s="5" t="s">
        <v>22</v>
      </c>
      <c r="J646" s="5" t="s">
        <v>3387</v>
      </c>
      <c r="K646" s="5" t="s">
        <v>3393</v>
      </c>
      <c r="L646" s="5" t="s">
        <v>22</v>
      </c>
      <c r="M646" s="5" t="s">
        <v>3644</v>
      </c>
      <c r="N646" s="5" t="s">
        <v>2377</v>
      </c>
      <c r="O646" s="5" t="s">
        <v>108</v>
      </c>
      <c r="P646" s="5" t="s">
        <v>26</v>
      </c>
      <c r="Q646" s="5" t="s">
        <v>34</v>
      </c>
      <c r="R646" s="5">
        <v>2151</v>
      </c>
      <c r="S646" s="5">
        <v>42.393605664192698</v>
      </c>
      <c r="T646" s="5">
        <v>-71.03430917</v>
      </c>
    </row>
    <row r="647" spans="1:20" x14ac:dyDescent="0.3">
      <c r="A647" s="5" t="s">
        <v>2378</v>
      </c>
      <c r="B647" s="6">
        <v>13187</v>
      </c>
      <c r="C647" s="6" t="str">
        <f t="shared" ref="C647:C657" si="189">"Active/Unavailable"</f>
        <v>Active/Unavailable</v>
      </c>
      <c r="D647" s="5" t="s">
        <v>29</v>
      </c>
      <c r="E647" s="5" t="s">
        <v>2379</v>
      </c>
      <c r="F647" s="5" t="s">
        <v>1571</v>
      </c>
      <c r="G647" s="5" t="str">
        <f t="shared" si="185"/>
        <v>Not Available</v>
      </c>
      <c r="H647" s="5" t="str">
        <f t="shared" si="188"/>
        <v>Not Available</v>
      </c>
      <c r="I647" s="5" t="s">
        <v>22</v>
      </c>
      <c r="J647" s="5" t="s">
        <v>3388</v>
      </c>
      <c r="K647" s="5" t="s">
        <v>3393</v>
      </c>
      <c r="L647" s="5" t="s">
        <v>22</v>
      </c>
      <c r="M647" s="5" t="s">
        <v>3477</v>
      </c>
      <c r="N647" s="5" t="s">
        <v>2380</v>
      </c>
      <c r="O647" s="5" t="s">
        <v>33</v>
      </c>
      <c r="P647" s="5" t="s">
        <v>26</v>
      </c>
      <c r="Q647" s="5" t="s">
        <v>34</v>
      </c>
      <c r="R647" s="5">
        <v>2135</v>
      </c>
      <c r="S647" s="5">
        <v>42.369213863294398</v>
      </c>
      <c r="T647" s="5">
        <v>-71.10422457</v>
      </c>
    </row>
    <row r="648" spans="1:20" x14ac:dyDescent="0.3">
      <c r="A648" s="5" t="s">
        <v>2381</v>
      </c>
      <c r="B648" s="6">
        <v>26670</v>
      </c>
      <c r="C648" s="6" t="str">
        <f t="shared" si="189"/>
        <v>Active/Unavailable</v>
      </c>
      <c r="D648" s="5" t="s">
        <v>29</v>
      </c>
      <c r="E648" s="5" t="s">
        <v>2382</v>
      </c>
      <c r="F648" s="5" t="s">
        <v>2383</v>
      </c>
      <c r="G648" s="5" t="str">
        <f t="shared" si="185"/>
        <v>Not Available</v>
      </c>
      <c r="H648" s="5" t="str">
        <f t="shared" si="188"/>
        <v>Not Available</v>
      </c>
      <c r="I648" s="5" t="s">
        <v>22</v>
      </c>
      <c r="J648" s="5" t="s">
        <v>3389</v>
      </c>
      <c r="K648" s="5" t="s">
        <v>3394</v>
      </c>
      <c r="L648" s="5" t="s">
        <v>22</v>
      </c>
      <c r="M648" s="5" t="s">
        <v>3601</v>
      </c>
      <c r="N648" s="5" t="s">
        <v>2384</v>
      </c>
      <c r="O648" s="5" t="s">
        <v>25</v>
      </c>
      <c r="P648" s="5" t="s">
        <v>26</v>
      </c>
      <c r="Q648" s="5" t="s">
        <v>27</v>
      </c>
      <c r="R648" s="5">
        <v>2170</v>
      </c>
      <c r="S648" s="5">
        <v>42.319641054211203</v>
      </c>
      <c r="T648" s="5">
        <v>-71.027263050000002</v>
      </c>
    </row>
    <row r="649" spans="1:20" x14ac:dyDescent="0.3">
      <c r="A649" s="5" t="s">
        <v>2385</v>
      </c>
      <c r="B649" s="6">
        <v>9114</v>
      </c>
      <c r="C649" s="6" t="str">
        <f t="shared" si="189"/>
        <v>Active/Unavailable</v>
      </c>
      <c r="D649" s="5" t="s">
        <v>29</v>
      </c>
      <c r="E649" s="5" t="s">
        <v>323</v>
      </c>
      <c r="F649" s="5" t="s">
        <v>2386</v>
      </c>
      <c r="G649" s="5" t="str">
        <f t="shared" si="185"/>
        <v>Not Available</v>
      </c>
      <c r="H649" s="5" t="str">
        <f t="shared" si="188"/>
        <v>Not Available</v>
      </c>
      <c r="I649" s="5" t="s">
        <v>22</v>
      </c>
      <c r="J649" s="5" t="s">
        <v>3387</v>
      </c>
      <c r="K649" s="5" t="s">
        <v>3394</v>
      </c>
      <c r="L649" s="5" t="s">
        <v>22</v>
      </c>
      <c r="M649" s="5" t="s">
        <v>3426</v>
      </c>
      <c r="N649" s="5" t="s">
        <v>2387</v>
      </c>
      <c r="O649" s="5" t="s">
        <v>33</v>
      </c>
      <c r="P649" s="5" t="s">
        <v>26</v>
      </c>
      <c r="Q649" s="5" t="s">
        <v>34</v>
      </c>
      <c r="R649" s="5">
        <v>2110</v>
      </c>
      <c r="S649" s="5">
        <v>42.381503941383897</v>
      </c>
      <c r="T649" s="5">
        <v>-71.043857579999994</v>
      </c>
    </row>
    <row r="650" spans="1:20" x14ac:dyDescent="0.3">
      <c r="A650" s="5" t="s">
        <v>2388</v>
      </c>
      <c r="B650" s="6">
        <v>21365</v>
      </c>
      <c r="C650" s="6" t="str">
        <f t="shared" si="189"/>
        <v>Active/Unavailable</v>
      </c>
      <c r="D650" s="5" t="s">
        <v>18</v>
      </c>
      <c r="E650" s="5" t="s">
        <v>2389</v>
      </c>
      <c r="F650" s="5" t="s">
        <v>2390</v>
      </c>
      <c r="G650" s="5" t="str">
        <f t="shared" si="185"/>
        <v>Not Available</v>
      </c>
      <c r="H650" s="5" t="s">
        <v>2332</v>
      </c>
      <c r="I650" s="5" t="s">
        <v>22</v>
      </c>
      <c r="J650" s="5" t="s">
        <v>3387</v>
      </c>
      <c r="K650" s="5" t="s">
        <v>3393</v>
      </c>
      <c r="L650" s="5" t="s">
        <v>23</v>
      </c>
      <c r="M650" s="5" t="s">
        <v>3442</v>
      </c>
      <c r="N650" s="5" t="s">
        <v>2391</v>
      </c>
      <c r="O650" s="5" t="s">
        <v>679</v>
      </c>
      <c r="P650" s="5" t="s">
        <v>26</v>
      </c>
      <c r="Q650" s="5" t="s">
        <v>317</v>
      </c>
      <c r="R650" s="5" t="str">
        <f>"0000"</f>
        <v>0000</v>
      </c>
      <c r="S650" s="5">
        <v>42.3158128166748</v>
      </c>
      <c r="T650" s="5">
        <v>-70.848152220000003</v>
      </c>
    </row>
    <row r="651" spans="1:20" x14ac:dyDescent="0.3">
      <c r="A651" s="5" t="s">
        <v>2392</v>
      </c>
      <c r="B651" s="6">
        <v>10854</v>
      </c>
      <c r="C651" s="6" t="str">
        <f t="shared" si="189"/>
        <v>Active/Unavailable</v>
      </c>
      <c r="D651" s="5" t="s">
        <v>29</v>
      </c>
      <c r="E651" s="5" t="s">
        <v>2393</v>
      </c>
      <c r="F651" s="5" t="s">
        <v>1016</v>
      </c>
      <c r="G651" s="5" t="str">
        <f t="shared" si="185"/>
        <v>Not Available</v>
      </c>
      <c r="H651" s="5" t="str">
        <f>"Not Available"</f>
        <v>Not Available</v>
      </c>
      <c r="I651" s="5" t="s">
        <v>65</v>
      </c>
      <c r="J651" s="5" t="s">
        <v>3389</v>
      </c>
      <c r="K651" s="5" t="s">
        <v>3393</v>
      </c>
      <c r="L651" s="5" t="s">
        <v>22</v>
      </c>
      <c r="M651" s="5" t="s">
        <v>3436</v>
      </c>
      <c r="N651" s="5" t="s">
        <v>2394</v>
      </c>
      <c r="O651" s="5" t="s">
        <v>33</v>
      </c>
      <c r="P651" s="5" t="s">
        <v>26</v>
      </c>
      <c r="Q651" s="5" t="s">
        <v>34</v>
      </c>
      <c r="R651" s="5">
        <v>2121</v>
      </c>
      <c r="S651" s="5">
        <v>42.3468255923135</v>
      </c>
      <c r="T651" s="5">
        <v>-71.071771760000004</v>
      </c>
    </row>
    <row r="652" spans="1:20" x14ac:dyDescent="0.3">
      <c r="A652" s="5" t="s">
        <v>2395</v>
      </c>
      <c r="B652" s="6">
        <v>25036</v>
      </c>
      <c r="C652" s="6" t="str">
        <f t="shared" si="189"/>
        <v>Active/Unavailable</v>
      </c>
      <c r="D652" s="5" t="s">
        <v>18</v>
      </c>
      <c r="E652" s="5" t="s">
        <v>2396</v>
      </c>
      <c r="F652" s="5" t="s">
        <v>37</v>
      </c>
      <c r="G652" s="5" t="str">
        <f t="shared" si="185"/>
        <v>Not Available</v>
      </c>
      <c r="H652" s="5" t="s">
        <v>1553</v>
      </c>
      <c r="I652" s="5" t="s">
        <v>22</v>
      </c>
      <c r="J652" s="5" t="s">
        <v>3387</v>
      </c>
      <c r="K652" s="5" t="s">
        <v>3393</v>
      </c>
      <c r="L652" s="5" t="s">
        <v>23</v>
      </c>
      <c r="M652" s="5" t="s">
        <v>3573</v>
      </c>
      <c r="N652" s="5" t="s">
        <v>2397</v>
      </c>
      <c r="O652" s="5" t="s">
        <v>33</v>
      </c>
      <c r="P652" s="5" t="s">
        <v>26</v>
      </c>
      <c r="Q652" s="5" t="s">
        <v>34</v>
      </c>
      <c r="R652" s="5">
        <v>2203</v>
      </c>
      <c r="S652" s="5">
        <v>42.2923229135111</v>
      </c>
      <c r="T652" s="5">
        <v>-70.999928629999999</v>
      </c>
    </row>
    <row r="653" spans="1:20" x14ac:dyDescent="0.3">
      <c r="A653" s="5" t="s">
        <v>2398</v>
      </c>
      <c r="B653" s="6">
        <v>10555</v>
      </c>
      <c r="C653" s="6" t="str">
        <f t="shared" si="189"/>
        <v>Active/Unavailable</v>
      </c>
      <c r="D653" s="5" t="s">
        <v>29</v>
      </c>
      <c r="E653" s="5" t="s">
        <v>2399</v>
      </c>
      <c r="F653" s="5" t="s">
        <v>366</v>
      </c>
      <c r="G653" s="5" t="str">
        <f t="shared" si="185"/>
        <v>Not Available</v>
      </c>
      <c r="H653" s="5" t="str">
        <f t="shared" ref="H653:H655" si="190">"Not Available"</f>
        <v>Not Available</v>
      </c>
      <c r="I653" s="5" t="s">
        <v>65</v>
      </c>
      <c r="J653" s="5" t="s">
        <v>3387</v>
      </c>
      <c r="K653" s="5" t="s">
        <v>3393</v>
      </c>
      <c r="L653" s="5" t="s">
        <v>22</v>
      </c>
      <c r="M653" s="5" t="s">
        <v>3400</v>
      </c>
      <c r="N653" s="5" t="s">
        <v>3705</v>
      </c>
      <c r="O653" s="5" t="s">
        <v>33</v>
      </c>
      <c r="P653" s="5" t="s">
        <v>26</v>
      </c>
      <c r="Q653" s="5" t="s">
        <v>34</v>
      </c>
      <c r="R653" s="5">
        <v>2131</v>
      </c>
      <c r="S653" s="5">
        <v>42.390107214927802</v>
      </c>
      <c r="T653" s="5">
        <v>-71.086930429999995</v>
      </c>
    </row>
    <row r="654" spans="1:20" x14ac:dyDescent="0.3">
      <c r="A654" s="5" t="s">
        <v>2400</v>
      </c>
      <c r="B654" s="6">
        <v>21426</v>
      </c>
      <c r="C654" s="6" t="str">
        <f t="shared" si="189"/>
        <v>Active/Unavailable</v>
      </c>
      <c r="D654" s="5" t="s">
        <v>29</v>
      </c>
      <c r="E654" s="5" t="s">
        <v>2401</v>
      </c>
      <c r="F654" s="5" t="s">
        <v>1200</v>
      </c>
      <c r="G654" s="5" t="str">
        <f t="shared" si="185"/>
        <v>Not Available</v>
      </c>
      <c r="H654" s="5" t="str">
        <f t="shared" si="190"/>
        <v>Not Available</v>
      </c>
      <c r="I654" s="5" t="s">
        <v>22</v>
      </c>
      <c r="J654" s="5" t="s">
        <v>3391</v>
      </c>
      <c r="K654" s="5" t="s">
        <v>3393</v>
      </c>
      <c r="L654" s="5" t="s">
        <v>22</v>
      </c>
      <c r="M654" s="5" t="s">
        <v>3645</v>
      </c>
      <c r="N654" s="5" t="s">
        <v>2402</v>
      </c>
      <c r="O654" s="5" t="s">
        <v>33</v>
      </c>
      <c r="P654" s="5" t="s">
        <v>26</v>
      </c>
      <c r="Q654" s="5" t="s">
        <v>34</v>
      </c>
      <c r="R654" s="5">
        <v>2128</v>
      </c>
      <c r="S654" s="5">
        <v>42.340296083039803</v>
      </c>
      <c r="T654" s="5">
        <v>-71.065347299999999</v>
      </c>
    </row>
    <row r="655" spans="1:20" x14ac:dyDescent="0.3">
      <c r="A655" s="5" t="s">
        <v>2403</v>
      </c>
      <c r="B655" s="6">
        <v>27521</v>
      </c>
      <c r="C655" s="6" t="str">
        <f t="shared" si="189"/>
        <v>Active/Unavailable</v>
      </c>
      <c r="D655" s="5" t="s">
        <v>100</v>
      </c>
      <c r="E655" s="5" t="s">
        <v>2404</v>
      </c>
      <c r="F655" s="5" t="s">
        <v>825</v>
      </c>
      <c r="G655" s="5" t="str">
        <f t="shared" si="185"/>
        <v>Not Available</v>
      </c>
      <c r="H655" s="5" t="str">
        <f t="shared" si="190"/>
        <v>Not Available</v>
      </c>
      <c r="I655" s="5" t="s">
        <v>65</v>
      </c>
      <c r="J655" s="5" t="s">
        <v>3387</v>
      </c>
      <c r="K655" s="5" t="s">
        <v>3393</v>
      </c>
      <c r="L655" s="5" t="s">
        <v>23</v>
      </c>
      <c r="M655" s="5" t="s">
        <v>3527</v>
      </c>
      <c r="N655" s="5" t="s">
        <v>2405</v>
      </c>
      <c r="O655" s="5" t="s">
        <v>33</v>
      </c>
      <c r="P655" s="5" t="s">
        <v>26</v>
      </c>
      <c r="Q655" s="5" t="s">
        <v>34</v>
      </c>
      <c r="R655" s="5">
        <v>2122</v>
      </c>
      <c r="S655" s="5">
        <v>42.303541663546397</v>
      </c>
      <c r="T655" s="5">
        <v>-70.972327280000002</v>
      </c>
    </row>
    <row r="656" spans="1:20" x14ac:dyDescent="0.3">
      <c r="A656" s="5" t="s">
        <v>2406</v>
      </c>
      <c r="B656" s="6">
        <v>19016</v>
      </c>
      <c r="C656" s="6" t="str">
        <f t="shared" si="189"/>
        <v>Active/Unavailable</v>
      </c>
      <c r="D656" s="5" t="s">
        <v>18</v>
      </c>
      <c r="E656" s="5" t="s">
        <v>2407</v>
      </c>
      <c r="F656" s="5" t="s">
        <v>1211</v>
      </c>
      <c r="G656" s="5" t="str">
        <f t="shared" si="185"/>
        <v>Not Available</v>
      </c>
      <c r="H656" s="5" t="s">
        <v>2408</v>
      </c>
      <c r="I656" s="5" t="s">
        <v>22</v>
      </c>
      <c r="J656" s="5" t="s">
        <v>3387</v>
      </c>
      <c r="K656" s="5" t="s">
        <v>3393</v>
      </c>
      <c r="L656" s="5" t="s">
        <v>23</v>
      </c>
      <c r="M656" s="5" t="s">
        <v>3527</v>
      </c>
      <c r="N656" s="5" t="s">
        <v>2409</v>
      </c>
      <c r="O656" s="5" t="s">
        <v>33</v>
      </c>
      <c r="P656" s="5" t="s">
        <v>26</v>
      </c>
      <c r="Q656" s="5" t="s">
        <v>34</v>
      </c>
      <c r="R656" s="5">
        <v>2203</v>
      </c>
      <c r="S656" s="5">
        <v>42.304302074907298</v>
      </c>
      <c r="T656" s="5">
        <v>-71.055526659999998</v>
      </c>
    </row>
    <row r="657" spans="1:20" x14ac:dyDescent="0.3">
      <c r="A657" s="5" t="s">
        <v>2410</v>
      </c>
      <c r="B657" s="6">
        <v>12140</v>
      </c>
      <c r="C657" s="6" t="str">
        <f t="shared" si="189"/>
        <v>Active/Unavailable</v>
      </c>
      <c r="D657" s="5" t="s">
        <v>29</v>
      </c>
      <c r="E657" s="5" t="s">
        <v>2363</v>
      </c>
      <c r="F657" s="5" t="s">
        <v>1311</v>
      </c>
      <c r="G657" s="5" t="str">
        <f t="shared" si="185"/>
        <v>Not Available</v>
      </c>
      <c r="H657" s="5" t="str">
        <f t="shared" ref="H657:H668" si="191">"Not Available"</f>
        <v>Not Available</v>
      </c>
      <c r="I657" s="5" t="s">
        <v>22</v>
      </c>
      <c r="J657" s="5" t="s">
        <v>3387</v>
      </c>
      <c r="K657" s="5" t="s">
        <v>3394</v>
      </c>
      <c r="L657" s="5" t="s">
        <v>22</v>
      </c>
      <c r="M657" s="5" t="s">
        <v>3411</v>
      </c>
      <c r="N657" s="5" t="s">
        <v>2411</v>
      </c>
      <c r="O657" s="5" t="s">
        <v>172</v>
      </c>
      <c r="P657" s="5" t="s">
        <v>26</v>
      </c>
      <c r="Q657" s="5" t="s">
        <v>34</v>
      </c>
      <c r="R657" s="5">
        <v>2150</v>
      </c>
      <c r="S657" s="5">
        <v>42.377148215843498</v>
      </c>
      <c r="T657" s="5">
        <v>-71.009082269999993</v>
      </c>
    </row>
    <row r="658" spans="1:20" x14ac:dyDescent="0.3">
      <c r="A658" s="5" t="s">
        <v>2412</v>
      </c>
      <c r="B658" s="6">
        <v>11381</v>
      </c>
      <c r="C658" s="6">
        <v>41093</v>
      </c>
      <c r="D658" s="5" t="s">
        <v>29</v>
      </c>
      <c r="E658" s="5" t="s">
        <v>893</v>
      </c>
      <c r="F658" s="5" t="s">
        <v>3375</v>
      </c>
      <c r="G658" s="5" t="str">
        <f t="shared" si="185"/>
        <v>Not Available</v>
      </c>
      <c r="H658" s="5" t="str">
        <f t="shared" si="191"/>
        <v>Not Available</v>
      </c>
      <c r="I658" s="5" t="s">
        <v>22</v>
      </c>
      <c r="J658" s="5" t="s">
        <v>3387</v>
      </c>
      <c r="K658" s="5" t="s">
        <v>3394</v>
      </c>
      <c r="L658" s="5" t="s">
        <v>22</v>
      </c>
      <c r="M658" s="5" t="s">
        <v>3449</v>
      </c>
      <c r="N658" s="5" t="s">
        <v>3706</v>
      </c>
      <c r="O658" s="5" t="s">
        <v>33</v>
      </c>
      <c r="P658" s="5" t="s">
        <v>26</v>
      </c>
      <c r="Q658" s="5" t="s">
        <v>34</v>
      </c>
      <c r="R658" s="5">
        <v>2199</v>
      </c>
      <c r="S658" s="5">
        <v>42.3488156661708</v>
      </c>
      <c r="T658" s="5">
        <v>-71.046281789999995</v>
      </c>
    </row>
    <row r="659" spans="1:20" x14ac:dyDescent="0.3">
      <c r="A659" s="5" t="s">
        <v>2413</v>
      </c>
      <c r="B659" s="6">
        <v>11381</v>
      </c>
      <c r="C659" s="6">
        <v>43196</v>
      </c>
      <c r="D659" s="5" t="s">
        <v>29</v>
      </c>
      <c r="E659" s="5" t="s">
        <v>877</v>
      </c>
      <c r="F659" s="5" t="s">
        <v>3376</v>
      </c>
      <c r="G659" s="5" t="str">
        <f t="shared" si="185"/>
        <v>Not Available</v>
      </c>
      <c r="H659" s="5" t="str">
        <f t="shared" si="191"/>
        <v>Not Available</v>
      </c>
      <c r="I659" s="5" t="s">
        <v>22</v>
      </c>
      <c r="J659" s="5" t="s">
        <v>3387</v>
      </c>
      <c r="K659" s="5" t="s">
        <v>3394</v>
      </c>
      <c r="L659" s="5" t="s">
        <v>22</v>
      </c>
      <c r="M659" s="5" t="s">
        <v>3461</v>
      </c>
      <c r="N659" s="5" t="s">
        <v>2414</v>
      </c>
      <c r="O659" s="5" t="s">
        <v>33</v>
      </c>
      <c r="P659" s="5" t="s">
        <v>26</v>
      </c>
      <c r="Q659" s="5" t="s">
        <v>34</v>
      </c>
      <c r="R659" s="5">
        <v>2109</v>
      </c>
      <c r="S659" s="5">
        <v>42.415813658874697</v>
      </c>
      <c r="T659" s="5">
        <v>-71.079420639999995</v>
      </c>
    </row>
    <row r="660" spans="1:20" x14ac:dyDescent="0.3">
      <c r="A660" s="5" t="s">
        <v>2415</v>
      </c>
      <c r="B660" s="6">
        <v>13005</v>
      </c>
      <c r="C660" s="6" t="str">
        <f t="shared" ref="C660:C662" si="192">"Active/Unavailable"</f>
        <v>Active/Unavailable</v>
      </c>
      <c r="D660" s="5" t="s">
        <v>29</v>
      </c>
      <c r="E660" s="5" t="s">
        <v>2416</v>
      </c>
      <c r="F660" s="5" t="s">
        <v>170</v>
      </c>
      <c r="G660" s="5" t="str">
        <f t="shared" si="185"/>
        <v>Not Available</v>
      </c>
      <c r="H660" s="5" t="str">
        <f t="shared" si="191"/>
        <v>Not Available</v>
      </c>
      <c r="I660" s="5" t="s">
        <v>22</v>
      </c>
      <c r="J660" s="5" t="s">
        <v>3387</v>
      </c>
      <c r="K660" s="5" t="s">
        <v>3393</v>
      </c>
      <c r="L660" s="5" t="s">
        <v>22</v>
      </c>
      <c r="M660" s="5" t="s">
        <v>3421</v>
      </c>
      <c r="N660" s="5" t="s">
        <v>2417</v>
      </c>
      <c r="O660" s="5" t="s">
        <v>56</v>
      </c>
      <c r="P660" s="5" t="s">
        <v>26</v>
      </c>
      <c r="Q660" s="5" t="s">
        <v>57</v>
      </c>
      <c r="R660" s="5">
        <v>2139</v>
      </c>
      <c r="S660" s="5">
        <v>42.3478179661235</v>
      </c>
      <c r="T660" s="5">
        <v>-71.087424459999994</v>
      </c>
    </row>
    <row r="661" spans="1:20" x14ac:dyDescent="0.3">
      <c r="A661" s="5" t="s">
        <v>2418</v>
      </c>
      <c r="B661" s="6">
        <v>31090</v>
      </c>
      <c r="C661" s="6" t="str">
        <f t="shared" si="192"/>
        <v>Active/Unavailable</v>
      </c>
      <c r="D661" s="5" t="s">
        <v>29</v>
      </c>
      <c r="E661" s="5" t="s">
        <v>1739</v>
      </c>
      <c r="F661" s="5" t="s">
        <v>934</v>
      </c>
      <c r="G661" s="5" t="str">
        <f t="shared" si="185"/>
        <v>Not Available</v>
      </c>
      <c r="H661" s="5" t="str">
        <f t="shared" si="191"/>
        <v>Not Available</v>
      </c>
      <c r="I661" s="5" t="s">
        <v>65</v>
      </c>
      <c r="J661" s="5" t="s">
        <v>3387</v>
      </c>
      <c r="K661" s="5" t="s">
        <v>3393</v>
      </c>
      <c r="L661" s="5" t="s">
        <v>22</v>
      </c>
      <c r="M661" s="5" t="s">
        <v>3646</v>
      </c>
      <c r="N661" s="5" t="s">
        <v>2419</v>
      </c>
      <c r="O661" s="5" t="s">
        <v>56</v>
      </c>
      <c r="P661" s="5" t="s">
        <v>26</v>
      </c>
      <c r="Q661" s="5" t="s">
        <v>57</v>
      </c>
      <c r="R661" s="5">
        <v>2142</v>
      </c>
      <c r="S661" s="5">
        <v>42.345931136993102</v>
      </c>
      <c r="T661" s="5">
        <v>-71.07047532</v>
      </c>
    </row>
    <row r="662" spans="1:20" x14ac:dyDescent="0.3">
      <c r="A662" s="5" t="s">
        <v>2420</v>
      </c>
      <c r="B662" s="6">
        <v>29885</v>
      </c>
      <c r="C662" s="6" t="str">
        <f t="shared" si="192"/>
        <v>Active/Unavailable</v>
      </c>
      <c r="D662" s="5" t="s">
        <v>29</v>
      </c>
      <c r="E662" s="5" t="s">
        <v>2421</v>
      </c>
      <c r="F662" s="5" t="s">
        <v>1736</v>
      </c>
      <c r="G662" s="5" t="str">
        <f t="shared" si="185"/>
        <v>Not Available</v>
      </c>
      <c r="H662" s="5" t="str">
        <f t="shared" si="191"/>
        <v>Not Available</v>
      </c>
      <c r="I662" s="5" t="s">
        <v>22</v>
      </c>
      <c r="J662" s="5" t="s">
        <v>3389</v>
      </c>
      <c r="K662" s="5" t="s">
        <v>3393</v>
      </c>
      <c r="L662" s="5" t="s">
        <v>22</v>
      </c>
      <c r="M662" s="5" t="s">
        <v>3408</v>
      </c>
      <c r="N662" s="5" t="s">
        <v>2422</v>
      </c>
      <c r="O662" s="5" t="s">
        <v>33</v>
      </c>
      <c r="P662" s="5" t="s">
        <v>26</v>
      </c>
      <c r="Q662" s="5" t="s">
        <v>34</v>
      </c>
      <c r="R662" s="5">
        <v>2136</v>
      </c>
      <c r="S662" s="5">
        <v>42.376921628576802</v>
      </c>
      <c r="T662" s="5">
        <v>-71.039808530000002</v>
      </c>
    </row>
    <row r="663" spans="1:20" x14ac:dyDescent="0.3">
      <c r="A663" s="5" t="s">
        <v>2423</v>
      </c>
      <c r="B663" s="6">
        <v>9262</v>
      </c>
      <c r="C663" s="6">
        <v>40591</v>
      </c>
      <c r="D663" s="5" t="s">
        <v>29</v>
      </c>
      <c r="E663" s="5" t="s">
        <v>2424</v>
      </c>
      <c r="F663" s="5" t="s">
        <v>1311</v>
      </c>
      <c r="G663" s="5" t="str">
        <f t="shared" si="185"/>
        <v>Not Available</v>
      </c>
      <c r="H663" s="5" t="str">
        <f t="shared" si="191"/>
        <v>Not Available</v>
      </c>
      <c r="I663" s="5" t="s">
        <v>22</v>
      </c>
      <c r="J663" s="5" t="s">
        <v>3389</v>
      </c>
      <c r="K663" s="5" t="s">
        <v>3393</v>
      </c>
      <c r="L663" s="5" t="s">
        <v>22</v>
      </c>
      <c r="M663" s="5" t="s">
        <v>3647</v>
      </c>
      <c r="N663" s="5" t="s">
        <v>2425</v>
      </c>
      <c r="O663" s="5" t="s">
        <v>316</v>
      </c>
      <c r="P663" s="5" t="s">
        <v>26</v>
      </c>
      <c r="Q663" s="5" t="s">
        <v>317</v>
      </c>
      <c r="R663" s="5">
        <v>2043</v>
      </c>
      <c r="S663" s="5">
        <v>42.212543724136303</v>
      </c>
      <c r="T663" s="5">
        <v>-70.899660580000003</v>
      </c>
    </row>
    <row r="664" spans="1:20" x14ac:dyDescent="0.3">
      <c r="A664" s="5" t="s">
        <v>2426</v>
      </c>
      <c r="B664" s="6">
        <v>9979</v>
      </c>
      <c r="C664" s="6" t="str">
        <f t="shared" ref="C664:C673" si="193">"Active/Unavailable"</f>
        <v>Active/Unavailable</v>
      </c>
      <c r="D664" s="5" t="s">
        <v>29</v>
      </c>
      <c r="E664" s="5" t="s">
        <v>2335</v>
      </c>
      <c r="F664" s="5" t="s">
        <v>64</v>
      </c>
      <c r="G664" s="5" t="s">
        <v>2248</v>
      </c>
      <c r="H664" s="5" t="str">
        <f t="shared" si="191"/>
        <v>Not Available</v>
      </c>
      <c r="I664" s="5" t="s">
        <v>22</v>
      </c>
      <c r="J664" s="5" t="s">
        <v>3387</v>
      </c>
      <c r="K664" s="5" t="s">
        <v>3393</v>
      </c>
      <c r="L664" s="5" t="s">
        <v>22</v>
      </c>
      <c r="M664" s="5" t="s">
        <v>3648</v>
      </c>
      <c r="N664" s="5" t="s">
        <v>2427</v>
      </c>
      <c r="O664" s="5" t="s">
        <v>25</v>
      </c>
      <c r="P664" s="5" t="s">
        <v>26</v>
      </c>
      <c r="Q664" s="5" t="s">
        <v>27</v>
      </c>
      <c r="R664" s="5">
        <v>2171</v>
      </c>
      <c r="S664" s="5">
        <v>42.304334269999998</v>
      </c>
      <c r="T664" s="5">
        <v>-71.061781929999995</v>
      </c>
    </row>
    <row r="665" spans="1:20" x14ac:dyDescent="0.3">
      <c r="A665" s="5" t="s">
        <v>2428</v>
      </c>
      <c r="B665" s="6">
        <v>28064</v>
      </c>
      <c r="C665" s="6" t="str">
        <f t="shared" si="193"/>
        <v>Active/Unavailable</v>
      </c>
      <c r="D665" s="5" t="s">
        <v>100</v>
      </c>
      <c r="E665" s="5" t="s">
        <v>2429</v>
      </c>
      <c r="F665" s="5" t="s">
        <v>2430</v>
      </c>
      <c r="G665" s="5" t="str">
        <f t="shared" ref="G665:G685" si="194">"Not Available"</f>
        <v>Not Available</v>
      </c>
      <c r="H665" s="5" t="str">
        <f t="shared" si="191"/>
        <v>Not Available</v>
      </c>
      <c r="I665" s="5" t="s">
        <v>65</v>
      </c>
      <c r="J665" s="5" t="s">
        <v>3389</v>
      </c>
      <c r="K665" s="5" t="s">
        <v>3394</v>
      </c>
      <c r="L665" s="5" t="s">
        <v>23</v>
      </c>
      <c r="M665" s="5" t="s">
        <v>3649</v>
      </c>
      <c r="N665" s="5" t="s">
        <v>2431</v>
      </c>
      <c r="O665" s="5" t="s">
        <v>33</v>
      </c>
      <c r="P665" s="5" t="s">
        <v>26</v>
      </c>
      <c r="Q665" s="5" t="s">
        <v>34</v>
      </c>
      <c r="R665" s="5">
        <v>2130</v>
      </c>
      <c r="S665" s="5">
        <v>42.373602541822997</v>
      </c>
      <c r="T665" s="5">
        <v>-71.105701629999999</v>
      </c>
    </row>
    <row r="666" spans="1:20" x14ac:dyDescent="0.3">
      <c r="A666" s="5" t="s">
        <v>2432</v>
      </c>
      <c r="B666" s="6">
        <v>9262</v>
      </c>
      <c r="C666" s="6" t="str">
        <f t="shared" si="193"/>
        <v>Active/Unavailable</v>
      </c>
      <c r="D666" s="5" t="s">
        <v>29</v>
      </c>
      <c r="E666" s="5" t="s">
        <v>2433</v>
      </c>
      <c r="F666" s="5" t="s">
        <v>2434</v>
      </c>
      <c r="G666" s="5" t="str">
        <f t="shared" si="194"/>
        <v>Not Available</v>
      </c>
      <c r="H666" s="5" t="str">
        <f t="shared" si="191"/>
        <v>Not Available</v>
      </c>
      <c r="I666" s="5" t="s">
        <v>22</v>
      </c>
      <c r="J666" s="5" t="s">
        <v>3389</v>
      </c>
      <c r="K666" s="5" t="s">
        <v>3393</v>
      </c>
      <c r="L666" s="5" t="s">
        <v>22</v>
      </c>
      <c r="M666" s="5" t="s">
        <v>3497</v>
      </c>
      <c r="N666" s="5" t="s">
        <v>2435</v>
      </c>
      <c r="O666" s="5" t="s">
        <v>316</v>
      </c>
      <c r="P666" s="5" t="s">
        <v>26</v>
      </c>
      <c r="Q666" s="5" t="s">
        <v>317</v>
      </c>
      <c r="R666" s="5" t="str">
        <f t="shared" ref="R666:R667" si="195">"0000"</f>
        <v>0000</v>
      </c>
      <c r="S666" s="5">
        <v>42.2115267574464</v>
      </c>
      <c r="T666" s="5">
        <v>-70.913514460000002</v>
      </c>
    </row>
    <row r="667" spans="1:20" x14ac:dyDescent="0.3">
      <c r="A667" s="5" t="s">
        <v>2436</v>
      </c>
      <c r="B667" s="6">
        <v>18783</v>
      </c>
      <c r="C667" s="6" t="str">
        <f t="shared" si="193"/>
        <v>Active/Unavailable</v>
      </c>
      <c r="D667" s="5" t="s">
        <v>29</v>
      </c>
      <c r="E667" s="5" t="s">
        <v>2437</v>
      </c>
      <c r="F667" s="5" t="s">
        <v>2438</v>
      </c>
      <c r="G667" s="5" t="str">
        <f t="shared" si="194"/>
        <v>Not Available</v>
      </c>
      <c r="H667" s="5" t="str">
        <f t="shared" si="191"/>
        <v>Not Available</v>
      </c>
      <c r="I667" s="5" t="s">
        <v>22</v>
      </c>
      <c r="J667" s="5" t="s">
        <v>3387</v>
      </c>
      <c r="K667" s="5" t="s">
        <v>3394</v>
      </c>
      <c r="L667" s="5" t="s">
        <v>22</v>
      </c>
      <c r="M667" s="5" t="s">
        <v>3531</v>
      </c>
      <c r="N667" s="5" t="s">
        <v>2439</v>
      </c>
      <c r="O667" s="5" t="s">
        <v>33</v>
      </c>
      <c r="P667" s="5" t="s">
        <v>26</v>
      </c>
      <c r="Q667" s="5" t="s">
        <v>34</v>
      </c>
      <c r="R667" s="5" t="str">
        <f t="shared" si="195"/>
        <v>0000</v>
      </c>
      <c r="S667" s="5">
        <v>42.329972525245999</v>
      </c>
      <c r="T667" s="5">
        <v>-71.124471339999999</v>
      </c>
    </row>
    <row r="668" spans="1:20" x14ac:dyDescent="0.3">
      <c r="A668" s="5" t="s">
        <v>2440</v>
      </c>
      <c r="B668" s="6">
        <v>11881</v>
      </c>
      <c r="C668" s="6" t="str">
        <f t="shared" si="193"/>
        <v>Active/Unavailable</v>
      </c>
      <c r="D668" s="5" t="s">
        <v>29</v>
      </c>
      <c r="E668" s="5" t="s">
        <v>2441</v>
      </c>
      <c r="F668" s="5" t="s">
        <v>2289</v>
      </c>
      <c r="G668" s="5" t="str">
        <f t="shared" si="194"/>
        <v>Not Available</v>
      </c>
      <c r="H668" s="5" t="str">
        <f t="shared" si="191"/>
        <v>Not Available</v>
      </c>
      <c r="I668" s="5" t="s">
        <v>22</v>
      </c>
      <c r="J668" s="5" t="s">
        <v>3387</v>
      </c>
      <c r="K668" s="5" t="s">
        <v>3393</v>
      </c>
      <c r="L668" s="5" t="s">
        <v>22</v>
      </c>
      <c r="M668" s="5" t="s">
        <v>3400</v>
      </c>
      <c r="N668" s="5" t="s">
        <v>2442</v>
      </c>
      <c r="O668" s="5" t="s">
        <v>33</v>
      </c>
      <c r="P668" s="5" t="s">
        <v>26</v>
      </c>
      <c r="Q668" s="5" t="s">
        <v>34</v>
      </c>
      <c r="R668" s="5">
        <v>2122</v>
      </c>
      <c r="S668" s="5">
        <v>42.3277732965946</v>
      </c>
      <c r="T668" s="5">
        <v>-71.001147099999997</v>
      </c>
    </row>
    <row r="669" spans="1:20" x14ac:dyDescent="0.3">
      <c r="A669" s="5" t="s">
        <v>2443</v>
      </c>
      <c r="B669" s="6">
        <v>10117</v>
      </c>
      <c r="C669" s="6" t="str">
        <f t="shared" si="193"/>
        <v>Active/Unavailable</v>
      </c>
      <c r="D669" s="5" t="s">
        <v>18</v>
      </c>
      <c r="E669" s="5" t="s">
        <v>2444</v>
      </c>
      <c r="F669" s="5" t="s">
        <v>921</v>
      </c>
      <c r="G669" s="5" t="str">
        <f t="shared" si="194"/>
        <v>Not Available</v>
      </c>
      <c r="H669" s="5" t="s">
        <v>1143</v>
      </c>
      <c r="I669" s="5" t="s">
        <v>22</v>
      </c>
      <c r="J669" s="5" t="s">
        <v>3387</v>
      </c>
      <c r="K669" s="5" t="s">
        <v>3393</v>
      </c>
      <c r="L669" s="5" t="s">
        <v>23</v>
      </c>
      <c r="M669" s="5" t="s">
        <v>3498</v>
      </c>
      <c r="N669" s="5" t="s">
        <v>2445</v>
      </c>
      <c r="O669" s="5" t="s">
        <v>33</v>
      </c>
      <c r="P669" s="5" t="s">
        <v>26</v>
      </c>
      <c r="Q669" s="5" t="s">
        <v>34</v>
      </c>
      <c r="R669" s="5">
        <v>2203</v>
      </c>
      <c r="S669" s="5">
        <v>42.331783377778002</v>
      </c>
      <c r="T669" s="5">
        <v>-71.04605171</v>
      </c>
    </row>
    <row r="670" spans="1:20" x14ac:dyDescent="0.3">
      <c r="A670" s="5" t="s">
        <v>2446</v>
      </c>
      <c r="B670" s="6">
        <v>27239</v>
      </c>
      <c r="C670" s="6" t="str">
        <f t="shared" si="193"/>
        <v>Active/Unavailable</v>
      </c>
      <c r="D670" s="5" t="s">
        <v>18</v>
      </c>
      <c r="E670" s="5" t="s">
        <v>2447</v>
      </c>
      <c r="F670" s="5" t="s">
        <v>402</v>
      </c>
      <c r="G670" s="5" t="str">
        <f t="shared" si="194"/>
        <v>Not Available</v>
      </c>
      <c r="H670" s="5" t="s">
        <v>2434</v>
      </c>
      <c r="I670" s="5" t="s">
        <v>22</v>
      </c>
      <c r="J670" s="5" t="s">
        <v>3387</v>
      </c>
      <c r="K670" s="5" t="s">
        <v>3393</v>
      </c>
      <c r="L670" s="5" t="s">
        <v>23</v>
      </c>
      <c r="M670" s="5" t="s">
        <v>3650</v>
      </c>
      <c r="N670" s="5" t="s">
        <v>2448</v>
      </c>
      <c r="O670" s="5" t="s">
        <v>33</v>
      </c>
      <c r="P670" s="5" t="s">
        <v>26</v>
      </c>
      <c r="Q670" s="5" t="s">
        <v>34</v>
      </c>
      <c r="R670" s="5" t="str">
        <f>"0000"</f>
        <v>0000</v>
      </c>
      <c r="S670" s="5">
        <v>42.350693036293698</v>
      </c>
      <c r="T670" s="5">
        <v>-71.032011999999995</v>
      </c>
    </row>
    <row r="671" spans="1:20" x14ac:dyDescent="0.3">
      <c r="A671" s="5" t="s">
        <v>2449</v>
      </c>
      <c r="B671" s="6">
        <v>11935</v>
      </c>
      <c r="C671" s="6" t="str">
        <f t="shared" si="193"/>
        <v>Active/Unavailable</v>
      </c>
      <c r="D671" s="5" t="s">
        <v>18</v>
      </c>
      <c r="E671" s="5" t="s">
        <v>2450</v>
      </c>
      <c r="F671" s="5" t="s">
        <v>1431</v>
      </c>
      <c r="G671" s="5" t="str">
        <f t="shared" si="194"/>
        <v>Not Available</v>
      </c>
      <c r="H671" s="5" t="s">
        <v>567</v>
      </c>
      <c r="I671" s="5" t="s">
        <v>22</v>
      </c>
      <c r="J671" s="5" t="s">
        <v>3387</v>
      </c>
      <c r="K671" s="5" t="s">
        <v>3393</v>
      </c>
      <c r="L671" s="5" t="s">
        <v>23</v>
      </c>
      <c r="M671" s="5" t="s">
        <v>3539</v>
      </c>
      <c r="N671" s="5" t="s">
        <v>2451</v>
      </c>
      <c r="O671" s="5" t="s">
        <v>33</v>
      </c>
      <c r="P671" s="5" t="s">
        <v>26</v>
      </c>
      <c r="Q671" s="5" t="s">
        <v>34</v>
      </c>
      <c r="R671" s="5">
        <v>2108</v>
      </c>
      <c r="S671" s="5">
        <v>42.340268965985601</v>
      </c>
      <c r="T671" s="5">
        <v>-71.038411069999995</v>
      </c>
    </row>
    <row r="672" spans="1:20" x14ac:dyDescent="0.3">
      <c r="A672" s="5" t="s">
        <v>2452</v>
      </c>
      <c r="B672" s="6">
        <v>16552</v>
      </c>
      <c r="C672" s="6" t="str">
        <f t="shared" si="193"/>
        <v>Active/Unavailable</v>
      </c>
      <c r="D672" s="5" t="s">
        <v>100</v>
      </c>
      <c r="E672" s="5" t="s">
        <v>2453</v>
      </c>
      <c r="F672" s="5" t="s">
        <v>698</v>
      </c>
      <c r="G672" s="5" t="str">
        <f t="shared" si="194"/>
        <v>Not Available</v>
      </c>
      <c r="H672" s="5" t="str">
        <f t="shared" ref="H672:H674" si="196">"Not Available"</f>
        <v>Not Available</v>
      </c>
      <c r="I672" s="5" t="s">
        <v>65</v>
      </c>
      <c r="J672" s="5" t="s">
        <v>3387</v>
      </c>
      <c r="K672" s="5" t="s">
        <v>3393</v>
      </c>
      <c r="L672" s="5" t="s">
        <v>23</v>
      </c>
      <c r="M672" s="5" t="s">
        <v>3433</v>
      </c>
      <c r="N672" s="5" t="s">
        <v>2454</v>
      </c>
      <c r="O672" s="5" t="s">
        <v>33</v>
      </c>
      <c r="P672" s="5" t="s">
        <v>26</v>
      </c>
      <c r="Q672" s="5" t="s">
        <v>34</v>
      </c>
      <c r="R672" s="5">
        <v>2114</v>
      </c>
      <c r="S672" s="5">
        <v>42.313927880000001</v>
      </c>
      <c r="T672" s="5">
        <v>-71.070494010000004</v>
      </c>
    </row>
    <row r="673" spans="1:20" x14ac:dyDescent="0.3">
      <c r="A673" s="5" t="s">
        <v>2455</v>
      </c>
      <c r="B673" s="6">
        <v>16034</v>
      </c>
      <c r="C673" s="6" t="str">
        <f t="shared" si="193"/>
        <v>Active/Unavailable</v>
      </c>
      <c r="D673" s="5" t="s">
        <v>29</v>
      </c>
      <c r="E673" s="5" t="s">
        <v>2456</v>
      </c>
      <c r="F673" s="5" t="s">
        <v>268</v>
      </c>
      <c r="G673" s="5" t="str">
        <f t="shared" si="194"/>
        <v>Not Available</v>
      </c>
      <c r="H673" s="5" t="str">
        <f t="shared" si="196"/>
        <v>Not Available</v>
      </c>
      <c r="I673" s="5" t="s">
        <v>22</v>
      </c>
      <c r="J673" s="5" t="s">
        <v>3387</v>
      </c>
      <c r="K673" s="5" t="s">
        <v>3393</v>
      </c>
      <c r="L673" s="5" t="s">
        <v>22</v>
      </c>
      <c r="M673" s="5" t="s">
        <v>3434</v>
      </c>
      <c r="N673" s="5" t="s">
        <v>2457</v>
      </c>
      <c r="O673" s="5" t="s">
        <v>108</v>
      </c>
      <c r="P673" s="5" t="s">
        <v>26</v>
      </c>
      <c r="Q673" s="5" t="s">
        <v>34</v>
      </c>
      <c r="R673" s="5" t="str">
        <f>"0000"</f>
        <v>0000</v>
      </c>
      <c r="S673" s="5">
        <v>42.372851693414397</v>
      </c>
      <c r="T673" s="5">
        <v>-70.997243310000002</v>
      </c>
    </row>
    <row r="674" spans="1:20" x14ac:dyDescent="0.3">
      <c r="A674" s="5" t="s">
        <v>2458</v>
      </c>
      <c r="B674" s="6">
        <v>10315</v>
      </c>
      <c r="C674" s="6">
        <v>44172</v>
      </c>
      <c r="D674" s="5" t="s">
        <v>29</v>
      </c>
      <c r="E674" s="5" t="s">
        <v>2459</v>
      </c>
      <c r="F674" s="5" t="s">
        <v>2460</v>
      </c>
      <c r="G674" s="5" t="str">
        <f t="shared" si="194"/>
        <v>Not Available</v>
      </c>
      <c r="H674" s="5" t="str">
        <f t="shared" si="196"/>
        <v>Not Available</v>
      </c>
      <c r="I674" s="5" t="s">
        <v>22</v>
      </c>
      <c r="J674" s="5" t="s">
        <v>3387</v>
      </c>
      <c r="K674" s="5" t="s">
        <v>3394</v>
      </c>
      <c r="L674" s="5" t="s">
        <v>22</v>
      </c>
      <c r="M674" s="5" t="s">
        <v>3462</v>
      </c>
      <c r="N674" s="5" t="s">
        <v>2461</v>
      </c>
      <c r="O674" s="5" t="s">
        <v>33</v>
      </c>
      <c r="P674" s="5" t="s">
        <v>26</v>
      </c>
      <c r="Q674" s="5" t="s">
        <v>34</v>
      </c>
      <c r="R674" s="5">
        <v>2111</v>
      </c>
      <c r="S674" s="5">
        <v>42.360801879744301</v>
      </c>
      <c r="T674" s="5">
        <v>-71.065374890000001</v>
      </c>
    </row>
    <row r="675" spans="1:20" x14ac:dyDescent="0.3">
      <c r="A675" s="5" t="s">
        <v>2462</v>
      </c>
      <c r="B675" s="6">
        <v>26735</v>
      </c>
      <c r="C675" s="6" t="str">
        <f t="shared" ref="C675:C691" si="197">"Active/Unavailable"</f>
        <v>Active/Unavailable</v>
      </c>
      <c r="D675" s="5" t="s">
        <v>18</v>
      </c>
      <c r="E675" s="5" t="s">
        <v>2463</v>
      </c>
      <c r="F675" s="5" t="s">
        <v>2464</v>
      </c>
      <c r="G675" s="5" t="str">
        <f t="shared" si="194"/>
        <v>Not Available</v>
      </c>
      <c r="H675" s="5" t="s">
        <v>979</v>
      </c>
      <c r="I675" s="5" t="s">
        <v>22</v>
      </c>
      <c r="J675" s="5" t="s">
        <v>3387</v>
      </c>
      <c r="K675" s="5" t="s">
        <v>3393</v>
      </c>
      <c r="L675" s="5" t="s">
        <v>23</v>
      </c>
      <c r="M675" s="5" t="s">
        <v>3477</v>
      </c>
      <c r="N675" s="5" t="s">
        <v>2465</v>
      </c>
      <c r="O675" s="5" t="s">
        <v>33</v>
      </c>
      <c r="P675" s="5" t="s">
        <v>26</v>
      </c>
      <c r="Q675" s="5" t="s">
        <v>34</v>
      </c>
      <c r="R675" s="5">
        <v>2199</v>
      </c>
      <c r="S675" s="5">
        <v>42.307376440390399</v>
      </c>
      <c r="T675" s="5">
        <v>-71.011835180000006</v>
      </c>
    </row>
    <row r="676" spans="1:20" x14ac:dyDescent="0.3">
      <c r="A676" s="5" t="s">
        <v>2466</v>
      </c>
      <c r="B676" s="6">
        <v>29115</v>
      </c>
      <c r="C676" s="6" t="str">
        <f t="shared" si="197"/>
        <v>Active/Unavailable</v>
      </c>
      <c r="D676" s="5" t="s">
        <v>18</v>
      </c>
      <c r="E676" s="5" t="s">
        <v>2467</v>
      </c>
      <c r="F676" s="5" t="s">
        <v>290</v>
      </c>
      <c r="G676" s="5" t="str">
        <f t="shared" si="194"/>
        <v>Not Available</v>
      </c>
      <c r="H676" s="5" t="s">
        <v>1975</v>
      </c>
      <c r="I676" s="5" t="s">
        <v>22</v>
      </c>
      <c r="J676" s="5" t="s">
        <v>3387</v>
      </c>
      <c r="K676" s="5" t="s">
        <v>3393</v>
      </c>
      <c r="L676" s="5" t="s">
        <v>23</v>
      </c>
      <c r="M676" s="5" t="s">
        <v>3402</v>
      </c>
      <c r="N676" s="5" t="s">
        <v>2468</v>
      </c>
      <c r="O676" s="5" t="s">
        <v>33</v>
      </c>
      <c r="P676" s="5" t="s">
        <v>26</v>
      </c>
      <c r="Q676" s="5" t="s">
        <v>34</v>
      </c>
      <c r="R676" s="5">
        <v>2114</v>
      </c>
      <c r="S676" s="5">
        <v>42.346471227163697</v>
      </c>
      <c r="T676" s="5">
        <v>-71.067176119999999</v>
      </c>
    </row>
    <row r="677" spans="1:20" x14ac:dyDescent="0.3">
      <c r="A677" s="5" t="s">
        <v>2469</v>
      </c>
      <c r="B677" s="6">
        <v>18718</v>
      </c>
      <c r="C677" s="6" t="str">
        <f t="shared" si="197"/>
        <v>Active/Unavailable</v>
      </c>
      <c r="D677" s="5" t="s">
        <v>29</v>
      </c>
      <c r="E677" s="5" t="s">
        <v>2470</v>
      </c>
      <c r="F677" s="5" t="s">
        <v>1114</v>
      </c>
      <c r="G677" s="5" t="str">
        <f t="shared" si="194"/>
        <v>Not Available</v>
      </c>
      <c r="H677" s="5" t="str">
        <f>"Not Available"</f>
        <v>Not Available</v>
      </c>
      <c r="I677" s="5" t="s">
        <v>22</v>
      </c>
      <c r="J677" s="5" t="s">
        <v>3387</v>
      </c>
      <c r="K677" s="5" t="s">
        <v>3393</v>
      </c>
      <c r="L677" s="5" t="s">
        <v>22</v>
      </c>
      <c r="M677" s="5" t="s">
        <v>3651</v>
      </c>
      <c r="N677" s="5" t="s">
        <v>2471</v>
      </c>
      <c r="O677" s="5" t="s">
        <v>209</v>
      </c>
      <c r="P677" s="5" t="s">
        <v>26</v>
      </c>
      <c r="Q677" s="5" t="s">
        <v>27</v>
      </c>
      <c r="R677" s="5">
        <v>2189</v>
      </c>
      <c r="S677" s="5">
        <v>42.2479150164936</v>
      </c>
      <c r="T677" s="5">
        <v>-70.984213260000004</v>
      </c>
    </row>
    <row r="678" spans="1:20" x14ac:dyDescent="0.3">
      <c r="A678" s="5" t="s">
        <v>2472</v>
      </c>
      <c r="B678" s="6">
        <v>27973</v>
      </c>
      <c r="C678" s="6" t="str">
        <f t="shared" si="197"/>
        <v>Active/Unavailable</v>
      </c>
      <c r="D678" s="5" t="s">
        <v>18</v>
      </c>
      <c r="E678" s="5" t="s">
        <v>370</v>
      </c>
      <c r="F678" s="5" t="s">
        <v>1356</v>
      </c>
      <c r="G678" s="5" t="str">
        <f t="shared" si="194"/>
        <v>Not Available</v>
      </c>
      <c r="H678" s="5" t="s">
        <v>1743</v>
      </c>
      <c r="I678" s="5" t="s">
        <v>22</v>
      </c>
      <c r="J678" s="5" t="s">
        <v>3387</v>
      </c>
      <c r="K678" s="5" t="s">
        <v>3394</v>
      </c>
      <c r="L678" s="5" t="s">
        <v>23</v>
      </c>
      <c r="M678" s="5" t="s">
        <v>3652</v>
      </c>
      <c r="N678" s="5" t="s">
        <v>2473</v>
      </c>
      <c r="O678" s="5" t="s">
        <v>172</v>
      </c>
      <c r="P678" s="5" t="s">
        <v>26</v>
      </c>
      <c r="Q678" s="5" t="s">
        <v>34</v>
      </c>
      <c r="R678" s="5">
        <v>2149</v>
      </c>
      <c r="S678" s="5">
        <v>42.388364942304399</v>
      </c>
      <c r="T678" s="5">
        <v>-70.986432019999995</v>
      </c>
    </row>
    <row r="679" spans="1:20" x14ac:dyDescent="0.3">
      <c r="A679" s="5" t="s">
        <v>2474</v>
      </c>
      <c r="B679" s="6">
        <v>31044</v>
      </c>
      <c r="C679" s="6" t="str">
        <f t="shared" si="197"/>
        <v>Active/Unavailable</v>
      </c>
      <c r="D679" s="5" t="s">
        <v>29</v>
      </c>
      <c r="E679" s="5" t="s">
        <v>1772</v>
      </c>
      <c r="F679" s="5" t="s">
        <v>1757</v>
      </c>
      <c r="G679" s="5" t="str">
        <f t="shared" si="194"/>
        <v>Not Available</v>
      </c>
      <c r="H679" s="5" t="str">
        <f t="shared" ref="H679:H680" si="198">"Not Available"</f>
        <v>Not Available</v>
      </c>
      <c r="I679" s="5" t="s">
        <v>22</v>
      </c>
      <c r="J679" s="5" t="s">
        <v>3387</v>
      </c>
      <c r="K679" s="5" t="s">
        <v>3393</v>
      </c>
      <c r="L679" s="5" t="s">
        <v>22</v>
      </c>
      <c r="M679" s="5" t="s">
        <v>3622</v>
      </c>
      <c r="N679" s="5" t="s">
        <v>2475</v>
      </c>
      <c r="O679" s="5" t="s">
        <v>679</v>
      </c>
      <c r="P679" s="5" t="s">
        <v>26</v>
      </c>
      <c r="Q679" s="5" t="s">
        <v>317</v>
      </c>
      <c r="R679" s="5">
        <v>2045</v>
      </c>
      <c r="S679" s="5">
        <v>42.312100054864999</v>
      </c>
      <c r="T679" s="5">
        <v>-70.842427209999997</v>
      </c>
    </row>
    <row r="680" spans="1:20" x14ac:dyDescent="0.3">
      <c r="A680" s="5" t="s">
        <v>2476</v>
      </c>
      <c r="B680" s="6">
        <v>33172</v>
      </c>
      <c r="C680" s="6" t="str">
        <f t="shared" si="197"/>
        <v>Active/Unavailable</v>
      </c>
      <c r="D680" s="5" t="s">
        <v>29</v>
      </c>
      <c r="E680" s="5" t="s">
        <v>2477</v>
      </c>
      <c r="F680" s="5" t="s">
        <v>617</v>
      </c>
      <c r="G680" s="5" t="str">
        <f t="shared" si="194"/>
        <v>Not Available</v>
      </c>
      <c r="H680" s="5" t="str">
        <f t="shared" si="198"/>
        <v>Not Available</v>
      </c>
      <c r="I680" s="5" t="s">
        <v>65</v>
      </c>
      <c r="J680" s="5" t="s">
        <v>3387</v>
      </c>
      <c r="K680" s="5" t="s">
        <v>3393</v>
      </c>
      <c r="L680" s="5" t="s">
        <v>22</v>
      </c>
      <c r="M680" s="5" t="s">
        <v>3438</v>
      </c>
      <c r="N680" s="5" t="s">
        <v>2478</v>
      </c>
      <c r="O680" s="5" t="s">
        <v>33</v>
      </c>
      <c r="P680" s="5" t="s">
        <v>26</v>
      </c>
      <c r="Q680" s="5" t="s">
        <v>34</v>
      </c>
      <c r="R680" s="5">
        <v>2125</v>
      </c>
      <c r="S680" s="5">
        <v>42.319932593081901</v>
      </c>
      <c r="T680" s="5">
        <v>-71.051848840000005</v>
      </c>
    </row>
    <row r="681" spans="1:20" x14ac:dyDescent="0.3">
      <c r="A681" s="5" t="s">
        <v>2479</v>
      </c>
      <c r="B681" s="6">
        <v>29050</v>
      </c>
      <c r="C681" s="6" t="str">
        <f t="shared" si="197"/>
        <v>Active/Unavailable</v>
      </c>
      <c r="D681" s="5" t="s">
        <v>18</v>
      </c>
      <c r="E681" s="5" t="s">
        <v>2480</v>
      </c>
      <c r="F681" s="5" t="s">
        <v>852</v>
      </c>
      <c r="G681" s="5" t="str">
        <f t="shared" si="194"/>
        <v>Not Available</v>
      </c>
      <c r="H681" s="5" t="s">
        <v>2481</v>
      </c>
      <c r="I681" s="5" t="s">
        <v>22</v>
      </c>
      <c r="J681" s="5" t="s">
        <v>3387</v>
      </c>
      <c r="K681" s="5" t="s">
        <v>3394</v>
      </c>
      <c r="L681" s="5" t="s">
        <v>23</v>
      </c>
      <c r="M681" s="5" t="s">
        <v>3574</v>
      </c>
      <c r="N681" s="5" t="s">
        <v>2482</v>
      </c>
      <c r="O681" s="5" t="s">
        <v>33</v>
      </c>
      <c r="P681" s="5" t="s">
        <v>26</v>
      </c>
      <c r="Q681" s="5" t="s">
        <v>34</v>
      </c>
      <c r="R681" s="5">
        <v>2122</v>
      </c>
      <c r="S681" s="5">
        <v>42.373278312654598</v>
      </c>
      <c r="T681" s="5">
        <v>-71.029462710000004</v>
      </c>
    </row>
    <row r="682" spans="1:20" x14ac:dyDescent="0.3">
      <c r="A682" s="5" t="s">
        <v>2483</v>
      </c>
      <c r="B682" s="6">
        <v>14082</v>
      </c>
      <c r="C682" s="6" t="str">
        <f t="shared" si="197"/>
        <v>Active/Unavailable</v>
      </c>
      <c r="D682" s="5" t="s">
        <v>29</v>
      </c>
      <c r="E682" s="5" t="s">
        <v>767</v>
      </c>
      <c r="F682" s="5" t="s">
        <v>613</v>
      </c>
      <c r="G682" s="5" t="str">
        <f t="shared" si="194"/>
        <v>Not Available</v>
      </c>
      <c r="H682" s="5" t="str">
        <f>"Not Available"</f>
        <v>Not Available</v>
      </c>
      <c r="I682" s="5" t="s">
        <v>22</v>
      </c>
      <c r="J682" s="5" t="s">
        <v>3387</v>
      </c>
      <c r="K682" s="5" t="s">
        <v>3393</v>
      </c>
      <c r="L682" s="5" t="s">
        <v>22</v>
      </c>
      <c r="M682" s="5" t="s">
        <v>3548</v>
      </c>
      <c r="N682" s="5" t="s">
        <v>2484</v>
      </c>
      <c r="O682" s="5" t="s">
        <v>33</v>
      </c>
      <c r="P682" s="5" t="s">
        <v>26</v>
      </c>
      <c r="Q682" s="5" t="s">
        <v>34</v>
      </c>
      <c r="R682" s="5">
        <v>2131</v>
      </c>
      <c r="S682" s="5">
        <v>42.374808662843698</v>
      </c>
      <c r="T682" s="5">
        <v>-71.056540010000006</v>
      </c>
    </row>
    <row r="683" spans="1:20" x14ac:dyDescent="0.3">
      <c r="A683" s="5" t="s">
        <v>2485</v>
      </c>
      <c r="B683" s="6">
        <v>21282</v>
      </c>
      <c r="C683" s="6" t="str">
        <f t="shared" si="197"/>
        <v>Active/Unavailable</v>
      </c>
      <c r="D683" s="5" t="s">
        <v>18</v>
      </c>
      <c r="E683" s="5" t="s">
        <v>2486</v>
      </c>
      <c r="F683" s="5" t="s">
        <v>1789</v>
      </c>
      <c r="G683" s="5" t="str">
        <f t="shared" si="194"/>
        <v>Not Available</v>
      </c>
      <c r="H683" s="5" t="s">
        <v>625</v>
      </c>
      <c r="I683" s="5" t="s">
        <v>22</v>
      </c>
      <c r="J683" s="5" t="s">
        <v>3388</v>
      </c>
      <c r="K683" s="5" t="s">
        <v>3393</v>
      </c>
      <c r="L683" s="5" t="s">
        <v>23</v>
      </c>
      <c r="M683" s="5" t="s">
        <v>3402</v>
      </c>
      <c r="N683" s="5" t="s">
        <v>2487</v>
      </c>
      <c r="O683" s="5" t="s">
        <v>108</v>
      </c>
      <c r="P683" s="5" t="s">
        <v>26</v>
      </c>
      <c r="Q683" s="5" t="s">
        <v>34</v>
      </c>
      <c r="R683" s="5">
        <v>2151</v>
      </c>
      <c r="S683" s="5">
        <v>42.3748027195875</v>
      </c>
      <c r="T683" s="5">
        <v>-71.044834300000005</v>
      </c>
    </row>
    <row r="684" spans="1:20" x14ac:dyDescent="0.3">
      <c r="A684" s="5" t="s">
        <v>2488</v>
      </c>
      <c r="B684" s="6">
        <v>9689</v>
      </c>
      <c r="C684" s="6" t="str">
        <f t="shared" si="197"/>
        <v>Active/Unavailable</v>
      </c>
      <c r="D684" s="5" t="s">
        <v>29</v>
      </c>
      <c r="E684" s="5" t="s">
        <v>2020</v>
      </c>
      <c r="F684" s="5" t="s">
        <v>929</v>
      </c>
      <c r="G684" s="5" t="str">
        <f t="shared" si="194"/>
        <v>Not Available</v>
      </c>
      <c r="H684" s="5" t="str">
        <f>"Not Available"</f>
        <v>Not Available</v>
      </c>
      <c r="I684" s="5" t="s">
        <v>22</v>
      </c>
      <c r="J684" s="5" t="s">
        <v>3387</v>
      </c>
      <c r="K684" s="5" t="s">
        <v>3393</v>
      </c>
      <c r="L684" s="5" t="s">
        <v>22</v>
      </c>
      <c r="M684" s="5" t="s">
        <v>3445</v>
      </c>
      <c r="N684" s="5" t="s">
        <v>2489</v>
      </c>
      <c r="O684" s="5" t="s">
        <v>33</v>
      </c>
      <c r="P684" s="5" t="s">
        <v>26</v>
      </c>
      <c r="Q684" s="5" t="s">
        <v>34</v>
      </c>
      <c r="R684" s="5">
        <v>2111</v>
      </c>
      <c r="S684" s="5">
        <v>42.357777510533502</v>
      </c>
      <c r="T684" s="5">
        <v>-70.988976649999998</v>
      </c>
    </row>
    <row r="685" spans="1:20" x14ac:dyDescent="0.3">
      <c r="A685" s="5" t="s">
        <v>2490</v>
      </c>
      <c r="B685" s="6">
        <v>17457</v>
      </c>
      <c r="C685" s="6" t="str">
        <f t="shared" si="197"/>
        <v>Active/Unavailable</v>
      </c>
      <c r="D685" s="5" t="s">
        <v>18</v>
      </c>
      <c r="E685" s="5" t="s">
        <v>2491</v>
      </c>
      <c r="F685" s="5" t="s">
        <v>1323</v>
      </c>
      <c r="G685" s="5" t="str">
        <f t="shared" si="194"/>
        <v>Not Available</v>
      </c>
      <c r="H685" s="5" t="s">
        <v>290</v>
      </c>
      <c r="I685" s="5" t="s">
        <v>22</v>
      </c>
      <c r="J685" s="5" t="s">
        <v>3387</v>
      </c>
      <c r="K685" s="5" t="s">
        <v>3393</v>
      </c>
      <c r="L685" s="5" t="s">
        <v>23</v>
      </c>
      <c r="M685" s="5" t="s">
        <v>3412</v>
      </c>
      <c r="N685" s="5" t="s">
        <v>2492</v>
      </c>
      <c r="O685" s="5" t="s">
        <v>33</v>
      </c>
      <c r="P685" s="5" t="s">
        <v>26</v>
      </c>
      <c r="Q685" s="5" t="s">
        <v>34</v>
      </c>
      <c r="R685" s="5">
        <v>2113</v>
      </c>
      <c r="S685" s="5">
        <v>42.329127262071403</v>
      </c>
      <c r="T685" s="5">
        <v>-71.084880859999998</v>
      </c>
    </row>
    <row r="686" spans="1:20" x14ac:dyDescent="0.3">
      <c r="A686" s="5" t="s">
        <v>2493</v>
      </c>
      <c r="B686" s="6">
        <v>23529</v>
      </c>
      <c r="C686" s="6" t="str">
        <f t="shared" si="197"/>
        <v>Active/Unavailable</v>
      </c>
      <c r="D686" s="5" t="s">
        <v>29</v>
      </c>
      <c r="E686" s="5" t="s">
        <v>2494</v>
      </c>
      <c r="F686" s="5" t="s">
        <v>1017</v>
      </c>
      <c r="G686" s="5" t="s">
        <v>398</v>
      </c>
      <c r="H686" s="5" t="str">
        <f t="shared" ref="H686:H689" si="199">"Not Available"</f>
        <v>Not Available</v>
      </c>
      <c r="I686" s="5" t="s">
        <v>22</v>
      </c>
      <c r="J686" s="5" t="s">
        <v>3387</v>
      </c>
      <c r="K686" s="5" t="s">
        <v>3393</v>
      </c>
      <c r="L686" s="5" t="s">
        <v>22</v>
      </c>
      <c r="M686" s="5" t="s">
        <v>3505</v>
      </c>
      <c r="N686" s="5" t="s">
        <v>2495</v>
      </c>
      <c r="O686" s="5" t="s">
        <v>25</v>
      </c>
      <c r="P686" s="5" t="s">
        <v>26</v>
      </c>
      <c r="Q686" s="5" t="s">
        <v>27</v>
      </c>
      <c r="R686" s="5">
        <v>2169</v>
      </c>
      <c r="S686" s="5">
        <v>42.291397985226197</v>
      </c>
      <c r="T686" s="5">
        <v>-71.020575129999997</v>
      </c>
    </row>
    <row r="687" spans="1:20" x14ac:dyDescent="0.3">
      <c r="A687" s="5" t="s">
        <v>2496</v>
      </c>
      <c r="B687" s="6">
        <v>19718</v>
      </c>
      <c r="C687" s="6" t="str">
        <f t="shared" si="197"/>
        <v>Active/Unavailable</v>
      </c>
      <c r="D687" s="5" t="s">
        <v>29</v>
      </c>
      <c r="E687" s="5" t="s">
        <v>2497</v>
      </c>
      <c r="F687" s="5" t="s">
        <v>2161</v>
      </c>
      <c r="G687" s="5" t="str">
        <f t="shared" ref="G687:G718" si="200">"Not Available"</f>
        <v>Not Available</v>
      </c>
      <c r="H687" s="5" t="str">
        <f t="shared" si="199"/>
        <v>Not Available</v>
      </c>
      <c r="I687" s="5" t="s">
        <v>22</v>
      </c>
      <c r="J687" s="5" t="s">
        <v>3389</v>
      </c>
      <c r="K687" s="5" t="s">
        <v>3393</v>
      </c>
      <c r="L687" s="5" t="s">
        <v>22</v>
      </c>
      <c r="M687" s="5" t="s">
        <v>3615</v>
      </c>
      <c r="N687" s="5" t="s">
        <v>2498</v>
      </c>
      <c r="O687" s="5" t="s">
        <v>108</v>
      </c>
      <c r="P687" s="5" t="s">
        <v>26</v>
      </c>
      <c r="Q687" s="5" t="s">
        <v>34</v>
      </c>
      <c r="R687" s="5" t="str">
        <f>"0000"</f>
        <v>0000</v>
      </c>
      <c r="S687" s="5">
        <v>42.386871803195703</v>
      </c>
      <c r="T687" s="5">
        <v>-70.957147460000002</v>
      </c>
    </row>
    <row r="688" spans="1:20" x14ac:dyDescent="0.3">
      <c r="A688" s="5" t="s">
        <v>2499</v>
      </c>
      <c r="B688" s="6">
        <v>14372</v>
      </c>
      <c r="C688" s="6" t="str">
        <f t="shared" si="197"/>
        <v>Active/Unavailable</v>
      </c>
      <c r="D688" s="5" t="s">
        <v>29</v>
      </c>
      <c r="E688" s="5" t="s">
        <v>2500</v>
      </c>
      <c r="F688" s="5" t="s">
        <v>1801</v>
      </c>
      <c r="G688" s="5" t="str">
        <f t="shared" si="200"/>
        <v>Not Available</v>
      </c>
      <c r="H688" s="5" t="str">
        <f t="shared" si="199"/>
        <v>Not Available</v>
      </c>
      <c r="I688" s="5" t="s">
        <v>65</v>
      </c>
      <c r="J688" s="5" t="s">
        <v>3387</v>
      </c>
      <c r="K688" s="5" t="s">
        <v>3393</v>
      </c>
      <c r="L688" s="5" t="s">
        <v>22</v>
      </c>
      <c r="M688" s="5" t="s">
        <v>3527</v>
      </c>
      <c r="N688" s="5" t="s">
        <v>2501</v>
      </c>
      <c r="O688" s="5" t="s">
        <v>33</v>
      </c>
      <c r="P688" s="5" t="s">
        <v>26</v>
      </c>
      <c r="Q688" s="5" t="s">
        <v>34</v>
      </c>
      <c r="R688" s="5">
        <v>2119</v>
      </c>
      <c r="S688" s="5">
        <v>42.322816335259901</v>
      </c>
      <c r="T688" s="5">
        <v>-71.020257130000005</v>
      </c>
    </row>
    <row r="689" spans="1:20" x14ac:dyDescent="0.3">
      <c r="A689" s="5" t="s">
        <v>2502</v>
      </c>
      <c r="B689" s="6">
        <v>20654</v>
      </c>
      <c r="C689" s="6" t="str">
        <f t="shared" si="197"/>
        <v>Active/Unavailable</v>
      </c>
      <c r="D689" s="5" t="s">
        <v>29</v>
      </c>
      <c r="E689" s="5" t="s">
        <v>2503</v>
      </c>
      <c r="F689" s="5" t="s">
        <v>97</v>
      </c>
      <c r="G689" s="5" t="str">
        <f t="shared" si="200"/>
        <v>Not Available</v>
      </c>
      <c r="H689" s="5" t="str">
        <f t="shared" si="199"/>
        <v>Not Available</v>
      </c>
      <c r="I689" s="5" t="s">
        <v>22</v>
      </c>
      <c r="J689" s="5" t="s">
        <v>3387</v>
      </c>
      <c r="K689" s="5" t="s">
        <v>3393</v>
      </c>
      <c r="L689" s="5" t="s">
        <v>22</v>
      </c>
      <c r="M689" s="5" t="s">
        <v>3653</v>
      </c>
      <c r="N689" s="5" t="s">
        <v>2504</v>
      </c>
      <c r="O689" s="5" t="s">
        <v>108</v>
      </c>
      <c r="P689" s="5" t="s">
        <v>26</v>
      </c>
      <c r="Q689" s="5" t="s">
        <v>34</v>
      </c>
      <c r="R689" s="5">
        <v>2151</v>
      </c>
      <c r="S689" s="5">
        <v>42.383926887677099</v>
      </c>
      <c r="T689" s="5">
        <v>-71.010210889999996</v>
      </c>
    </row>
    <row r="690" spans="1:20" x14ac:dyDescent="0.3">
      <c r="A690" s="5" t="s">
        <v>2505</v>
      </c>
      <c r="B690" s="6">
        <v>21735</v>
      </c>
      <c r="C690" s="6" t="str">
        <f t="shared" si="197"/>
        <v>Active/Unavailable</v>
      </c>
      <c r="D690" s="5" t="s">
        <v>18</v>
      </c>
      <c r="E690" s="5" t="s">
        <v>2506</v>
      </c>
      <c r="F690" s="5" t="s">
        <v>21</v>
      </c>
      <c r="G690" s="5" t="str">
        <f t="shared" si="200"/>
        <v>Not Available</v>
      </c>
      <c r="H690" s="5" t="s">
        <v>1153</v>
      </c>
      <c r="I690" s="5" t="s">
        <v>22</v>
      </c>
      <c r="J690" s="5" t="s">
        <v>3387</v>
      </c>
      <c r="K690" s="5" t="s">
        <v>3393</v>
      </c>
      <c r="L690" s="5" t="s">
        <v>23</v>
      </c>
      <c r="M690" s="5" t="s">
        <v>3458</v>
      </c>
      <c r="N690" s="5" t="s">
        <v>2507</v>
      </c>
      <c r="O690" s="5" t="s">
        <v>33</v>
      </c>
      <c r="P690" s="5" t="s">
        <v>26</v>
      </c>
      <c r="Q690" s="5" t="s">
        <v>34</v>
      </c>
      <c r="R690" s="5">
        <v>2119</v>
      </c>
      <c r="S690" s="5">
        <v>42.336324105317999</v>
      </c>
      <c r="T690" s="5">
        <v>-71.039426349999999</v>
      </c>
    </row>
    <row r="691" spans="1:20" x14ac:dyDescent="0.3">
      <c r="A691" s="5" t="s">
        <v>2508</v>
      </c>
      <c r="B691" s="6">
        <v>9047</v>
      </c>
      <c r="C691" s="6" t="str">
        <f t="shared" si="197"/>
        <v>Active/Unavailable</v>
      </c>
      <c r="D691" s="5" t="s">
        <v>18</v>
      </c>
      <c r="E691" s="5" t="s">
        <v>2509</v>
      </c>
      <c r="F691" s="5" t="s">
        <v>1026</v>
      </c>
      <c r="G691" s="5" t="str">
        <f t="shared" si="200"/>
        <v>Not Available</v>
      </c>
      <c r="H691" s="5" t="s">
        <v>885</v>
      </c>
      <c r="I691" s="5" t="s">
        <v>22</v>
      </c>
      <c r="J691" s="5" t="s">
        <v>3387</v>
      </c>
      <c r="K691" s="5" t="s">
        <v>3393</v>
      </c>
      <c r="L691" s="5" t="s">
        <v>23</v>
      </c>
      <c r="M691" s="5" t="s">
        <v>3568</v>
      </c>
      <c r="N691" s="5" t="s">
        <v>2510</v>
      </c>
      <c r="O691" s="5" t="s">
        <v>33</v>
      </c>
      <c r="P691" s="5" t="s">
        <v>26</v>
      </c>
      <c r="Q691" s="5" t="s">
        <v>34</v>
      </c>
      <c r="R691" s="5">
        <v>2129</v>
      </c>
      <c r="S691" s="5">
        <v>42.356413288974302</v>
      </c>
      <c r="T691" s="5">
        <v>-71.034824950000001</v>
      </c>
    </row>
    <row r="692" spans="1:20" x14ac:dyDescent="0.3">
      <c r="A692" s="5" t="s">
        <v>2511</v>
      </c>
      <c r="B692" s="6">
        <v>19334</v>
      </c>
      <c r="C692" s="6">
        <v>43302</v>
      </c>
      <c r="D692" s="5" t="s">
        <v>100</v>
      </c>
      <c r="E692" s="5" t="s">
        <v>2512</v>
      </c>
      <c r="F692" s="5" t="s">
        <v>537</v>
      </c>
      <c r="G692" s="5" t="str">
        <f t="shared" si="200"/>
        <v>Not Available</v>
      </c>
      <c r="H692" s="5" t="str">
        <f t="shared" ref="H692:H695" si="201">"Not Available"</f>
        <v>Not Available</v>
      </c>
      <c r="I692" s="5" t="s">
        <v>65</v>
      </c>
      <c r="J692" s="5" t="s">
        <v>3387</v>
      </c>
      <c r="K692" s="5" t="s">
        <v>3393</v>
      </c>
      <c r="L692" s="5" t="s">
        <v>23</v>
      </c>
      <c r="M692" s="5" t="s">
        <v>3612</v>
      </c>
      <c r="N692" s="5" t="s">
        <v>2513</v>
      </c>
      <c r="O692" s="5" t="s">
        <v>108</v>
      </c>
      <c r="P692" s="5" t="s">
        <v>26</v>
      </c>
      <c r="Q692" s="5" t="s">
        <v>34</v>
      </c>
      <c r="R692" s="5" t="str">
        <f>"0000"</f>
        <v>0000</v>
      </c>
      <c r="S692" s="5">
        <v>42.372445389216303</v>
      </c>
      <c r="T692" s="5">
        <v>-70.956959220000002</v>
      </c>
    </row>
    <row r="693" spans="1:20" x14ac:dyDescent="0.3">
      <c r="A693" s="5" t="s">
        <v>2514</v>
      </c>
      <c r="B693" s="6">
        <v>28273</v>
      </c>
      <c r="C693" s="6" t="str">
        <f>"Active/Unavailable"</f>
        <v>Active/Unavailable</v>
      </c>
      <c r="D693" s="5" t="s">
        <v>29</v>
      </c>
      <c r="E693" s="5" t="s">
        <v>2515</v>
      </c>
      <c r="F693" s="5" t="s">
        <v>2516</v>
      </c>
      <c r="G693" s="5" t="str">
        <f t="shared" si="200"/>
        <v>Not Available</v>
      </c>
      <c r="H693" s="5" t="str">
        <f t="shared" si="201"/>
        <v>Not Available</v>
      </c>
      <c r="I693" s="5" t="s">
        <v>65</v>
      </c>
      <c r="J693" s="5" t="s">
        <v>3387</v>
      </c>
      <c r="K693" s="5" t="s">
        <v>3393</v>
      </c>
      <c r="L693" s="5" t="s">
        <v>22</v>
      </c>
      <c r="M693" s="5" t="s">
        <v>3402</v>
      </c>
      <c r="N693" s="5" t="s">
        <v>2517</v>
      </c>
      <c r="O693" s="5" t="s">
        <v>25</v>
      </c>
      <c r="P693" s="5" t="s">
        <v>26</v>
      </c>
      <c r="Q693" s="5" t="s">
        <v>27</v>
      </c>
      <c r="R693" s="5">
        <v>2169</v>
      </c>
      <c r="S693" s="5">
        <v>42.313740698660098</v>
      </c>
      <c r="T693" s="5">
        <v>-71.028988889999994</v>
      </c>
    </row>
    <row r="694" spans="1:20" x14ac:dyDescent="0.3">
      <c r="A694" s="5" t="s">
        <v>2518</v>
      </c>
      <c r="B694" s="6">
        <v>10728</v>
      </c>
      <c r="C694" s="6">
        <v>42649</v>
      </c>
      <c r="D694" s="5" t="s">
        <v>100</v>
      </c>
      <c r="E694" s="5" t="s">
        <v>2519</v>
      </c>
      <c r="F694" s="5" t="s">
        <v>1811</v>
      </c>
      <c r="G694" s="5" t="str">
        <f t="shared" si="200"/>
        <v>Not Available</v>
      </c>
      <c r="H694" s="5" t="str">
        <f t="shared" si="201"/>
        <v>Not Available</v>
      </c>
      <c r="I694" s="5" t="s">
        <v>65</v>
      </c>
      <c r="J694" s="5" t="s">
        <v>3387</v>
      </c>
      <c r="K694" s="5" t="s">
        <v>3393</v>
      </c>
      <c r="L694" s="5" t="s">
        <v>23</v>
      </c>
      <c r="M694" s="5" t="s">
        <v>3527</v>
      </c>
      <c r="N694" s="5" t="s">
        <v>2520</v>
      </c>
      <c r="O694" s="5" t="s">
        <v>33</v>
      </c>
      <c r="P694" s="5" t="s">
        <v>26</v>
      </c>
      <c r="Q694" s="5" t="s">
        <v>34</v>
      </c>
      <c r="R694" s="5">
        <v>2131</v>
      </c>
      <c r="S694" s="5">
        <v>42.323408697604002</v>
      </c>
      <c r="T694" s="5">
        <v>-71.075952790000002</v>
      </c>
    </row>
    <row r="695" spans="1:20" x14ac:dyDescent="0.3">
      <c r="A695" s="5" t="s">
        <v>2521</v>
      </c>
      <c r="B695" s="6">
        <v>20818</v>
      </c>
      <c r="C695" s="6" t="str">
        <f>"Active/Unavailable"</f>
        <v>Active/Unavailable</v>
      </c>
      <c r="D695" s="5" t="s">
        <v>29</v>
      </c>
      <c r="E695" s="5" t="s">
        <v>2522</v>
      </c>
      <c r="F695" s="5" t="s">
        <v>1363</v>
      </c>
      <c r="G695" s="5" t="str">
        <f t="shared" si="200"/>
        <v>Not Available</v>
      </c>
      <c r="H695" s="5" t="str">
        <f t="shared" si="201"/>
        <v>Not Available</v>
      </c>
      <c r="I695" s="5" t="s">
        <v>22</v>
      </c>
      <c r="J695" s="5" t="s">
        <v>3387</v>
      </c>
      <c r="K695" s="5" t="s">
        <v>3394</v>
      </c>
      <c r="L695" s="5" t="s">
        <v>22</v>
      </c>
      <c r="M695" s="5" t="s">
        <v>3460</v>
      </c>
      <c r="N695" s="5" t="s">
        <v>2523</v>
      </c>
      <c r="O695" s="5" t="s">
        <v>33</v>
      </c>
      <c r="P695" s="5" t="s">
        <v>26</v>
      </c>
      <c r="Q695" s="5" t="s">
        <v>34</v>
      </c>
      <c r="R695" s="5">
        <v>2116</v>
      </c>
      <c r="S695" s="5">
        <v>42.312216673885104</v>
      </c>
      <c r="T695" s="5">
        <v>-71.083471099999997</v>
      </c>
    </row>
    <row r="696" spans="1:20" x14ac:dyDescent="0.3">
      <c r="A696" s="5" t="s">
        <v>2524</v>
      </c>
      <c r="B696" s="6">
        <v>10728</v>
      </c>
      <c r="C696" s="6">
        <v>43946</v>
      </c>
      <c r="D696" s="5" t="s">
        <v>18</v>
      </c>
      <c r="E696" s="5" t="s">
        <v>2525</v>
      </c>
      <c r="F696" s="5" t="s">
        <v>296</v>
      </c>
      <c r="G696" s="5" t="str">
        <f t="shared" si="200"/>
        <v>Not Available</v>
      </c>
      <c r="H696" s="5" t="s">
        <v>1021</v>
      </c>
      <c r="I696" s="5" t="s">
        <v>22</v>
      </c>
      <c r="J696" s="5" t="s">
        <v>3387</v>
      </c>
      <c r="K696" s="5" t="s">
        <v>3393</v>
      </c>
      <c r="L696" s="5" t="s">
        <v>23</v>
      </c>
      <c r="M696" s="5" t="s">
        <v>3625</v>
      </c>
      <c r="N696" s="5" t="s">
        <v>2526</v>
      </c>
      <c r="O696" s="5" t="s">
        <v>33</v>
      </c>
      <c r="P696" s="5" t="s">
        <v>26</v>
      </c>
      <c r="Q696" s="5" t="s">
        <v>34</v>
      </c>
      <c r="R696" s="5">
        <v>2467</v>
      </c>
      <c r="S696" s="5">
        <v>42.327937656473999</v>
      </c>
      <c r="T696" s="5">
        <v>-71.084335229999994</v>
      </c>
    </row>
    <row r="697" spans="1:20" x14ac:dyDescent="0.3">
      <c r="A697" s="5" t="s">
        <v>2527</v>
      </c>
      <c r="B697" s="6">
        <v>10728</v>
      </c>
      <c r="C697" s="6">
        <v>40577</v>
      </c>
      <c r="D697" s="5" t="s">
        <v>18</v>
      </c>
      <c r="E697" s="5" t="s">
        <v>2528</v>
      </c>
      <c r="F697" s="5" t="s">
        <v>1672</v>
      </c>
      <c r="G697" s="5" t="str">
        <f t="shared" si="200"/>
        <v>Not Available</v>
      </c>
      <c r="H697" s="5" t="s">
        <v>1187</v>
      </c>
      <c r="I697" s="5" t="s">
        <v>22</v>
      </c>
      <c r="J697" s="5" t="s">
        <v>3387</v>
      </c>
      <c r="K697" s="5" t="s">
        <v>3393</v>
      </c>
      <c r="L697" s="5" t="s">
        <v>23</v>
      </c>
      <c r="M697" s="5" t="s">
        <v>3654</v>
      </c>
      <c r="N697" s="5" t="s">
        <v>2529</v>
      </c>
      <c r="O697" s="5" t="s">
        <v>33</v>
      </c>
      <c r="P697" s="5" t="s">
        <v>26</v>
      </c>
      <c r="Q697" s="5" t="s">
        <v>34</v>
      </c>
      <c r="R697" s="5">
        <v>2129</v>
      </c>
      <c r="S697" s="5">
        <v>42.320930697301698</v>
      </c>
      <c r="T697" s="5">
        <v>-71.003086870000004</v>
      </c>
    </row>
    <row r="698" spans="1:20" x14ac:dyDescent="0.3">
      <c r="A698" s="5" t="s">
        <v>2530</v>
      </c>
      <c r="B698" s="6">
        <v>10728</v>
      </c>
      <c r="C698" s="6">
        <v>41590</v>
      </c>
      <c r="D698" s="5" t="s">
        <v>18</v>
      </c>
      <c r="E698" s="5" t="s">
        <v>2531</v>
      </c>
      <c r="F698" s="5" t="s">
        <v>2532</v>
      </c>
      <c r="G698" s="5" t="str">
        <f t="shared" si="200"/>
        <v>Not Available</v>
      </c>
      <c r="H698" s="5" t="s">
        <v>2060</v>
      </c>
      <c r="I698" s="5" t="s">
        <v>22</v>
      </c>
      <c r="J698" s="5" t="s">
        <v>3387</v>
      </c>
      <c r="K698" s="5" t="s">
        <v>3393</v>
      </c>
      <c r="L698" s="5" t="s">
        <v>23</v>
      </c>
      <c r="M698" s="5" t="s">
        <v>3411</v>
      </c>
      <c r="N698" s="5" t="s">
        <v>2533</v>
      </c>
      <c r="O698" s="5" t="s">
        <v>33</v>
      </c>
      <c r="P698" s="5" t="s">
        <v>26</v>
      </c>
      <c r="Q698" s="5" t="s">
        <v>34</v>
      </c>
      <c r="R698" s="5">
        <v>2108</v>
      </c>
      <c r="S698" s="5">
        <v>42.325423260000001</v>
      </c>
      <c r="T698" s="5">
        <v>-71.10748968</v>
      </c>
    </row>
    <row r="699" spans="1:20" x14ac:dyDescent="0.3">
      <c r="A699" s="5" t="s">
        <v>2534</v>
      </c>
      <c r="B699" s="6">
        <v>31105</v>
      </c>
      <c r="C699" s="6" t="str">
        <f>"Active/Unavailable"</f>
        <v>Active/Unavailable</v>
      </c>
      <c r="D699" s="5" t="s">
        <v>29</v>
      </c>
      <c r="E699" s="5" t="s">
        <v>2535</v>
      </c>
      <c r="F699" s="5" t="s">
        <v>2536</v>
      </c>
      <c r="G699" s="5" t="str">
        <f t="shared" si="200"/>
        <v>Not Available</v>
      </c>
      <c r="H699" s="5" t="str">
        <f t="shared" ref="H699:H702" si="202">"Not Available"</f>
        <v>Not Available</v>
      </c>
      <c r="I699" s="5" t="s">
        <v>22</v>
      </c>
      <c r="J699" s="5" t="s">
        <v>3387</v>
      </c>
      <c r="K699" s="5" t="s">
        <v>3393</v>
      </c>
      <c r="L699" s="5" t="s">
        <v>22</v>
      </c>
      <c r="M699" s="5" t="s">
        <v>3419</v>
      </c>
      <c r="N699" s="5" t="s">
        <v>2537</v>
      </c>
      <c r="O699" s="5" t="s">
        <v>679</v>
      </c>
      <c r="P699" s="5" t="s">
        <v>26</v>
      </c>
      <c r="Q699" s="5" t="s">
        <v>317</v>
      </c>
      <c r="R699" s="5" t="str">
        <f>"0000"</f>
        <v>0000</v>
      </c>
      <c r="S699" s="5">
        <v>42.340501040010103</v>
      </c>
      <c r="T699" s="5">
        <v>-70.896582030000005</v>
      </c>
    </row>
    <row r="700" spans="1:20" x14ac:dyDescent="0.3">
      <c r="A700" s="7" t="s">
        <v>2538</v>
      </c>
      <c r="B700" s="6">
        <v>26414</v>
      </c>
      <c r="C700" s="6">
        <v>43256</v>
      </c>
      <c r="D700" s="5" t="s">
        <v>29</v>
      </c>
      <c r="E700" s="5" t="s">
        <v>2539</v>
      </c>
      <c r="F700" s="5" t="s">
        <v>156</v>
      </c>
      <c r="G700" s="5" t="str">
        <f t="shared" si="200"/>
        <v>Not Available</v>
      </c>
      <c r="H700" s="5" t="str">
        <f t="shared" si="202"/>
        <v>Not Available</v>
      </c>
      <c r="I700" s="5" t="s">
        <v>65</v>
      </c>
      <c r="J700" s="5" t="s">
        <v>3387</v>
      </c>
      <c r="K700" s="5" t="s">
        <v>3394</v>
      </c>
      <c r="L700" s="5" t="s">
        <v>22</v>
      </c>
      <c r="M700" s="5" t="s">
        <v>3442</v>
      </c>
      <c r="N700" s="5" t="s">
        <v>2540</v>
      </c>
      <c r="O700" s="5" t="s">
        <v>33</v>
      </c>
      <c r="P700" s="5" t="s">
        <v>26</v>
      </c>
      <c r="Q700" s="5" t="s">
        <v>34</v>
      </c>
      <c r="R700" s="5">
        <v>2111</v>
      </c>
      <c r="S700" s="5">
        <v>42.384325255380197</v>
      </c>
      <c r="T700" s="5">
        <v>-71.038770490000005</v>
      </c>
    </row>
    <row r="701" spans="1:20" x14ac:dyDescent="0.3">
      <c r="A701" s="5" t="s">
        <v>2541</v>
      </c>
      <c r="B701" s="6">
        <v>22123</v>
      </c>
      <c r="C701" s="6" t="str">
        <f t="shared" ref="C701:C708" si="203">"Active/Unavailable"</f>
        <v>Active/Unavailable</v>
      </c>
      <c r="D701" s="5" t="s">
        <v>29</v>
      </c>
      <c r="E701" s="5" t="s">
        <v>1768</v>
      </c>
      <c r="F701" s="5" t="s">
        <v>2175</v>
      </c>
      <c r="G701" s="5" t="str">
        <f t="shared" si="200"/>
        <v>Not Available</v>
      </c>
      <c r="H701" s="5" t="str">
        <f t="shared" si="202"/>
        <v>Not Available</v>
      </c>
      <c r="I701" s="5" t="s">
        <v>22</v>
      </c>
      <c r="J701" s="5" t="s">
        <v>3387</v>
      </c>
      <c r="K701" s="5" t="s">
        <v>3393</v>
      </c>
      <c r="L701" s="5" t="s">
        <v>22</v>
      </c>
      <c r="M701" s="5" t="s">
        <v>3655</v>
      </c>
      <c r="N701" s="5" t="s">
        <v>2542</v>
      </c>
      <c r="O701" s="5" t="s">
        <v>25</v>
      </c>
      <c r="P701" s="5" t="s">
        <v>26</v>
      </c>
      <c r="Q701" s="5" t="s">
        <v>27</v>
      </c>
      <c r="R701" s="5">
        <v>2186</v>
      </c>
      <c r="S701" s="5">
        <v>42.257200978010303</v>
      </c>
      <c r="T701" s="5">
        <v>-70.958002089999994</v>
      </c>
    </row>
    <row r="702" spans="1:20" x14ac:dyDescent="0.3">
      <c r="A702" s="5" t="s">
        <v>2543</v>
      </c>
      <c r="B702" s="6">
        <v>26414</v>
      </c>
      <c r="C702" s="6" t="str">
        <f t="shared" si="203"/>
        <v>Active/Unavailable</v>
      </c>
      <c r="D702" s="5" t="s">
        <v>29</v>
      </c>
      <c r="E702" s="5" t="s">
        <v>2098</v>
      </c>
      <c r="F702" s="5" t="s">
        <v>709</v>
      </c>
      <c r="G702" s="5" t="str">
        <f t="shared" si="200"/>
        <v>Not Available</v>
      </c>
      <c r="H702" s="5" t="str">
        <f t="shared" si="202"/>
        <v>Not Available</v>
      </c>
      <c r="I702" s="5" t="s">
        <v>65</v>
      </c>
      <c r="J702" s="5" t="s">
        <v>3387</v>
      </c>
      <c r="K702" s="5" t="s">
        <v>3394</v>
      </c>
      <c r="L702" s="5" t="s">
        <v>22</v>
      </c>
      <c r="M702" s="5" t="s">
        <v>3445</v>
      </c>
      <c r="N702" s="5" t="s">
        <v>2544</v>
      </c>
      <c r="O702" s="5" t="s">
        <v>33</v>
      </c>
      <c r="P702" s="5" t="s">
        <v>26</v>
      </c>
      <c r="Q702" s="5" t="s">
        <v>34</v>
      </c>
      <c r="R702" s="5">
        <v>2134</v>
      </c>
      <c r="S702" s="5">
        <v>42.365373617913498</v>
      </c>
      <c r="T702" s="5">
        <v>-71.051497530000006</v>
      </c>
    </row>
    <row r="703" spans="1:20" x14ac:dyDescent="0.3">
      <c r="A703" s="5" t="s">
        <v>2545</v>
      </c>
      <c r="B703" s="6">
        <v>19672</v>
      </c>
      <c r="C703" s="6" t="str">
        <f t="shared" si="203"/>
        <v>Active/Unavailable</v>
      </c>
      <c r="D703" s="5" t="s">
        <v>18</v>
      </c>
      <c r="E703" s="5" t="s">
        <v>63</v>
      </c>
      <c r="F703" s="5" t="s">
        <v>92</v>
      </c>
      <c r="G703" s="5" t="str">
        <f t="shared" si="200"/>
        <v>Not Available</v>
      </c>
      <c r="H703" s="5" t="s">
        <v>1207</v>
      </c>
      <c r="I703" s="5" t="s">
        <v>22</v>
      </c>
      <c r="J703" s="5" t="s">
        <v>3387</v>
      </c>
      <c r="K703" s="5" t="s">
        <v>3393</v>
      </c>
      <c r="L703" s="5" t="s">
        <v>23</v>
      </c>
      <c r="M703" s="5" t="s">
        <v>3442</v>
      </c>
      <c r="N703" s="5" t="s">
        <v>2546</v>
      </c>
      <c r="O703" s="5" t="s">
        <v>587</v>
      </c>
      <c r="P703" s="5" t="s">
        <v>26</v>
      </c>
      <c r="Q703" s="5" t="s">
        <v>27</v>
      </c>
      <c r="R703" s="5" t="str">
        <f>"0000"</f>
        <v>0000</v>
      </c>
      <c r="S703" s="5">
        <v>42.253130048701898</v>
      </c>
      <c r="T703" s="5">
        <v>-71.002583759999993</v>
      </c>
    </row>
    <row r="704" spans="1:20" x14ac:dyDescent="0.3">
      <c r="A704" s="5" t="s">
        <v>2547</v>
      </c>
      <c r="B704" s="6">
        <v>33243</v>
      </c>
      <c r="C704" s="6" t="str">
        <f t="shared" si="203"/>
        <v>Active/Unavailable</v>
      </c>
      <c r="D704" s="5" t="s">
        <v>18</v>
      </c>
      <c r="E704" s="5" t="s">
        <v>526</v>
      </c>
      <c r="F704" s="5" t="s">
        <v>2548</v>
      </c>
      <c r="G704" s="5" t="str">
        <f t="shared" si="200"/>
        <v>Not Available</v>
      </c>
      <c r="H704" s="5" t="s">
        <v>1152</v>
      </c>
      <c r="I704" s="5" t="s">
        <v>22</v>
      </c>
      <c r="J704" s="5" t="s">
        <v>3387</v>
      </c>
      <c r="K704" s="5" t="s">
        <v>3393</v>
      </c>
      <c r="L704" s="5" t="s">
        <v>23</v>
      </c>
      <c r="M704" s="5" t="s">
        <v>3400</v>
      </c>
      <c r="N704" s="5" t="s">
        <v>2549</v>
      </c>
      <c r="O704" s="5" t="s">
        <v>33</v>
      </c>
      <c r="P704" s="5" t="s">
        <v>26</v>
      </c>
      <c r="Q704" s="5" t="s">
        <v>34</v>
      </c>
      <c r="R704" s="5">
        <v>2108</v>
      </c>
      <c r="S704" s="5">
        <v>42.335544954255198</v>
      </c>
      <c r="T704" s="5">
        <v>-71.067641089999995</v>
      </c>
    </row>
    <row r="705" spans="1:20" x14ac:dyDescent="0.3">
      <c r="A705" s="5" t="s">
        <v>2550</v>
      </c>
      <c r="B705" s="6">
        <v>19336</v>
      </c>
      <c r="C705" s="6" t="str">
        <f t="shared" si="203"/>
        <v>Active/Unavailable</v>
      </c>
      <c r="D705" s="5" t="s">
        <v>29</v>
      </c>
      <c r="E705" s="5" t="s">
        <v>2551</v>
      </c>
      <c r="F705" s="5" t="s">
        <v>96</v>
      </c>
      <c r="G705" s="5" t="str">
        <f t="shared" si="200"/>
        <v>Not Available</v>
      </c>
      <c r="H705" s="5" t="str">
        <f t="shared" ref="H705:H706" si="204">"Not Available"</f>
        <v>Not Available</v>
      </c>
      <c r="I705" s="5" t="s">
        <v>65</v>
      </c>
      <c r="J705" s="5" t="s">
        <v>3387</v>
      </c>
      <c r="K705" s="5" t="s">
        <v>3393</v>
      </c>
      <c r="L705" s="5" t="s">
        <v>22</v>
      </c>
      <c r="M705" s="5" t="s">
        <v>3656</v>
      </c>
      <c r="N705" s="5" t="s">
        <v>2552</v>
      </c>
      <c r="O705" s="5" t="s">
        <v>33</v>
      </c>
      <c r="P705" s="5" t="s">
        <v>26</v>
      </c>
      <c r="Q705" s="5" t="s">
        <v>34</v>
      </c>
      <c r="R705" s="5">
        <v>2130</v>
      </c>
      <c r="S705" s="5">
        <v>42.293944798949099</v>
      </c>
      <c r="T705" s="5">
        <v>-70.992911340000006</v>
      </c>
    </row>
    <row r="706" spans="1:20" x14ac:dyDescent="0.3">
      <c r="A706" s="5" t="s">
        <v>2553</v>
      </c>
      <c r="B706" s="6">
        <v>14066</v>
      </c>
      <c r="C706" s="6" t="str">
        <f t="shared" si="203"/>
        <v>Active/Unavailable</v>
      </c>
      <c r="D706" s="5" t="s">
        <v>29</v>
      </c>
      <c r="E706" s="5" t="s">
        <v>855</v>
      </c>
      <c r="F706" s="5" t="s">
        <v>60</v>
      </c>
      <c r="G706" s="5" t="str">
        <f t="shared" si="200"/>
        <v>Not Available</v>
      </c>
      <c r="H706" s="5" t="str">
        <f t="shared" si="204"/>
        <v>Not Available</v>
      </c>
      <c r="I706" s="5" t="s">
        <v>22</v>
      </c>
      <c r="J706" s="5" t="s">
        <v>3387</v>
      </c>
      <c r="K706" s="5" t="s">
        <v>3393</v>
      </c>
      <c r="L706" s="5" t="s">
        <v>22</v>
      </c>
      <c r="M706" s="5" t="s">
        <v>3529</v>
      </c>
      <c r="N706" s="5" t="s">
        <v>2554</v>
      </c>
      <c r="O706" s="5" t="s">
        <v>33</v>
      </c>
      <c r="P706" s="5" t="s">
        <v>26</v>
      </c>
      <c r="Q706" s="5" t="s">
        <v>34</v>
      </c>
      <c r="R706" s="5">
        <v>2152</v>
      </c>
      <c r="S706" s="5">
        <v>42.349361476979098</v>
      </c>
      <c r="T706" s="5">
        <v>-71.051034490000006</v>
      </c>
    </row>
    <row r="707" spans="1:20" x14ac:dyDescent="0.3">
      <c r="A707" s="5" t="s">
        <v>2555</v>
      </c>
      <c r="B707" s="6">
        <v>19310</v>
      </c>
      <c r="C707" s="6" t="str">
        <f t="shared" si="203"/>
        <v>Active/Unavailable</v>
      </c>
      <c r="D707" s="5" t="s">
        <v>18</v>
      </c>
      <c r="E707" s="5" t="s">
        <v>2556</v>
      </c>
      <c r="F707" s="5" t="s">
        <v>2258</v>
      </c>
      <c r="G707" s="5" t="str">
        <f t="shared" si="200"/>
        <v>Not Available</v>
      </c>
      <c r="H707" s="5" t="s">
        <v>2557</v>
      </c>
      <c r="I707" s="5" t="s">
        <v>22</v>
      </c>
      <c r="J707" s="5" t="s">
        <v>3387</v>
      </c>
      <c r="K707" s="5" t="s">
        <v>3393</v>
      </c>
      <c r="L707" s="5" t="s">
        <v>23</v>
      </c>
      <c r="M707" s="5" t="s">
        <v>3400</v>
      </c>
      <c r="N707" s="5" t="s">
        <v>2558</v>
      </c>
      <c r="O707" s="5" t="s">
        <v>172</v>
      </c>
      <c r="P707" s="5" t="s">
        <v>26</v>
      </c>
      <c r="Q707" s="5" t="s">
        <v>34</v>
      </c>
      <c r="R707" s="5">
        <v>2151</v>
      </c>
      <c r="S707" s="5">
        <v>42.364757246670301</v>
      </c>
      <c r="T707" s="5">
        <v>-70.994363109999995</v>
      </c>
    </row>
    <row r="708" spans="1:20" x14ac:dyDescent="0.3">
      <c r="A708" s="5" t="s">
        <v>2559</v>
      </c>
      <c r="B708" s="6">
        <v>24420</v>
      </c>
      <c r="C708" s="6" t="str">
        <f t="shared" si="203"/>
        <v>Active/Unavailable</v>
      </c>
      <c r="D708" s="5" t="s">
        <v>29</v>
      </c>
      <c r="E708" s="5" t="s">
        <v>2560</v>
      </c>
      <c r="F708" s="5" t="s">
        <v>541</v>
      </c>
      <c r="G708" s="5" t="str">
        <f t="shared" si="200"/>
        <v>Not Available</v>
      </c>
      <c r="H708" s="5" t="str">
        <f>"Not Available"</f>
        <v>Not Available</v>
      </c>
      <c r="I708" s="5" t="s">
        <v>22</v>
      </c>
      <c r="J708" s="5" t="s">
        <v>3391</v>
      </c>
      <c r="K708" s="5" t="s">
        <v>3393</v>
      </c>
      <c r="L708" s="5" t="s">
        <v>22</v>
      </c>
      <c r="M708" s="5" t="s">
        <v>3514</v>
      </c>
      <c r="N708" s="5" t="s">
        <v>2561</v>
      </c>
      <c r="O708" s="5" t="s">
        <v>274</v>
      </c>
      <c r="P708" s="5" t="s">
        <v>26</v>
      </c>
      <c r="Q708" s="5" t="s">
        <v>57</v>
      </c>
      <c r="R708" s="5" t="str">
        <f>"0000"</f>
        <v>0000</v>
      </c>
      <c r="S708" s="5">
        <v>42.451771129999997</v>
      </c>
      <c r="T708" s="5">
        <v>-71.095532230000003</v>
      </c>
    </row>
    <row r="709" spans="1:20" x14ac:dyDescent="0.3">
      <c r="A709" s="5" t="s">
        <v>2562</v>
      </c>
      <c r="B709" s="6">
        <v>10774</v>
      </c>
      <c r="C709" s="6">
        <v>41839</v>
      </c>
      <c r="D709" s="5" t="s">
        <v>18</v>
      </c>
      <c r="E709" s="5" t="s">
        <v>2563</v>
      </c>
      <c r="F709" s="5" t="s">
        <v>1558</v>
      </c>
      <c r="G709" s="5" t="str">
        <f t="shared" si="200"/>
        <v>Not Available</v>
      </c>
      <c r="H709" s="5" t="s">
        <v>464</v>
      </c>
      <c r="I709" s="5" t="s">
        <v>22</v>
      </c>
      <c r="J709" s="5" t="s">
        <v>3387</v>
      </c>
      <c r="K709" s="5" t="s">
        <v>3393</v>
      </c>
      <c r="L709" s="5" t="s">
        <v>23</v>
      </c>
      <c r="M709" s="5" t="s">
        <v>3400</v>
      </c>
      <c r="N709" s="5" t="s">
        <v>2564</v>
      </c>
      <c r="O709" s="5" t="s">
        <v>679</v>
      </c>
      <c r="P709" s="5" t="s">
        <v>26</v>
      </c>
      <c r="Q709" s="5" t="s">
        <v>317</v>
      </c>
      <c r="R709" s="5">
        <v>2045</v>
      </c>
      <c r="S709" s="5">
        <v>42.302722747159599</v>
      </c>
      <c r="T709" s="5">
        <v>-70.897390450000003</v>
      </c>
    </row>
    <row r="710" spans="1:20" x14ac:dyDescent="0.3">
      <c r="A710" s="5" t="s">
        <v>2565</v>
      </c>
      <c r="B710" s="6">
        <v>8948</v>
      </c>
      <c r="C710" s="6" t="str">
        <f t="shared" ref="C710:C711" si="205">"Active/Unavailable"</f>
        <v>Active/Unavailable</v>
      </c>
      <c r="D710" s="5" t="s">
        <v>18</v>
      </c>
      <c r="E710" s="5" t="s">
        <v>2566</v>
      </c>
      <c r="F710" s="5" t="s">
        <v>694</v>
      </c>
      <c r="G710" s="5" t="str">
        <f t="shared" si="200"/>
        <v>Not Available</v>
      </c>
      <c r="H710" s="5" t="s">
        <v>1038</v>
      </c>
      <c r="I710" s="5" t="s">
        <v>22</v>
      </c>
      <c r="J710" s="5" t="s">
        <v>3388</v>
      </c>
      <c r="K710" s="5" t="s">
        <v>3393</v>
      </c>
      <c r="L710" s="5" t="s">
        <v>23</v>
      </c>
      <c r="M710" s="5" t="s">
        <v>3401</v>
      </c>
      <c r="N710" s="5" t="s">
        <v>2567</v>
      </c>
      <c r="O710" s="5" t="s">
        <v>33</v>
      </c>
      <c r="P710" s="5" t="s">
        <v>26</v>
      </c>
      <c r="Q710" s="5" t="s">
        <v>34</v>
      </c>
      <c r="R710" s="5">
        <v>2131</v>
      </c>
      <c r="S710" s="5">
        <v>42.310534369011897</v>
      </c>
      <c r="T710" s="5">
        <v>-71.028506230000005</v>
      </c>
    </row>
    <row r="711" spans="1:20" x14ac:dyDescent="0.3">
      <c r="A711" s="5" t="s">
        <v>2568</v>
      </c>
      <c r="B711" s="6">
        <v>10774</v>
      </c>
      <c r="C711" s="6" t="str">
        <f t="shared" si="205"/>
        <v>Active/Unavailable</v>
      </c>
      <c r="D711" s="5" t="s">
        <v>18</v>
      </c>
      <c r="E711" s="5" t="s">
        <v>2569</v>
      </c>
      <c r="F711" s="5" t="s">
        <v>1959</v>
      </c>
      <c r="G711" s="5" t="str">
        <f t="shared" si="200"/>
        <v>Not Available</v>
      </c>
      <c r="H711" s="5" t="s">
        <v>1431</v>
      </c>
      <c r="I711" s="5" t="s">
        <v>22</v>
      </c>
      <c r="J711" s="5" t="s">
        <v>3387</v>
      </c>
      <c r="K711" s="5" t="s">
        <v>3393</v>
      </c>
      <c r="L711" s="5" t="s">
        <v>23</v>
      </c>
      <c r="M711" s="5" t="s">
        <v>3407</v>
      </c>
      <c r="N711" s="5" t="s">
        <v>2570</v>
      </c>
      <c r="O711" s="5" t="s">
        <v>679</v>
      </c>
      <c r="P711" s="5" t="s">
        <v>26</v>
      </c>
      <c r="Q711" s="5" t="s">
        <v>317</v>
      </c>
      <c r="R711" s="5">
        <v>2045</v>
      </c>
      <c r="S711" s="5">
        <v>42.340051899644102</v>
      </c>
      <c r="T711" s="5">
        <v>-70.922620010000003</v>
      </c>
    </row>
    <row r="712" spans="1:20" x14ac:dyDescent="0.3">
      <c r="A712" s="5" t="s">
        <v>2571</v>
      </c>
      <c r="B712" s="6">
        <v>15025</v>
      </c>
      <c r="C712" s="6">
        <v>43378</v>
      </c>
      <c r="D712" s="5" t="s">
        <v>29</v>
      </c>
      <c r="E712" s="5" t="s">
        <v>2572</v>
      </c>
      <c r="F712" s="5" t="s">
        <v>866</v>
      </c>
      <c r="G712" s="5" t="str">
        <f t="shared" si="200"/>
        <v>Not Available</v>
      </c>
      <c r="H712" s="5" t="str">
        <f t="shared" ref="H712:H713" si="206">"Not Available"</f>
        <v>Not Available</v>
      </c>
      <c r="I712" s="5" t="s">
        <v>22</v>
      </c>
      <c r="J712" s="5" t="s">
        <v>3387</v>
      </c>
      <c r="K712" s="5" t="s">
        <v>3393</v>
      </c>
      <c r="L712" s="5" t="s">
        <v>22</v>
      </c>
      <c r="M712" s="5" t="s">
        <v>3400</v>
      </c>
      <c r="N712" s="5" t="s">
        <v>2573</v>
      </c>
      <c r="O712" s="5" t="s">
        <v>2574</v>
      </c>
      <c r="P712" s="5" t="s">
        <v>26</v>
      </c>
      <c r="Q712" s="5" t="s">
        <v>57</v>
      </c>
      <c r="R712" s="5">
        <v>2138</v>
      </c>
      <c r="S712" s="5">
        <v>42.362018713501698</v>
      </c>
      <c r="T712" s="5">
        <v>-71.131320430000002</v>
      </c>
    </row>
    <row r="713" spans="1:20" x14ac:dyDescent="0.3">
      <c r="A713" s="5" t="s">
        <v>2575</v>
      </c>
      <c r="B713" s="6">
        <v>9697</v>
      </c>
      <c r="C713" s="6" t="str">
        <f t="shared" ref="C713:C724" si="207">"Active/Unavailable"</f>
        <v>Active/Unavailable</v>
      </c>
      <c r="D713" s="5" t="s">
        <v>29</v>
      </c>
      <c r="E713" s="5" t="s">
        <v>2576</v>
      </c>
      <c r="F713" s="5" t="s">
        <v>930</v>
      </c>
      <c r="G713" s="5" t="str">
        <f t="shared" si="200"/>
        <v>Not Available</v>
      </c>
      <c r="H713" s="5" t="str">
        <f t="shared" si="206"/>
        <v>Not Available</v>
      </c>
      <c r="I713" s="5" t="s">
        <v>22</v>
      </c>
      <c r="J713" s="5" t="s">
        <v>3387</v>
      </c>
      <c r="K713" s="5" t="s">
        <v>3394</v>
      </c>
      <c r="L713" s="5" t="s">
        <v>22</v>
      </c>
      <c r="M713" s="5" t="s">
        <v>3556</v>
      </c>
      <c r="N713" s="5" t="s">
        <v>2577</v>
      </c>
      <c r="O713" s="5" t="s">
        <v>274</v>
      </c>
      <c r="P713" s="5" t="s">
        <v>26</v>
      </c>
      <c r="Q713" s="5" t="s">
        <v>57</v>
      </c>
      <c r="R713" s="5">
        <v>2180</v>
      </c>
      <c r="S713" s="5">
        <v>42.439895637202902</v>
      </c>
      <c r="T713" s="5">
        <v>-71.054178239999999</v>
      </c>
    </row>
    <row r="714" spans="1:20" x14ac:dyDescent="0.3">
      <c r="A714" s="5" t="s">
        <v>2578</v>
      </c>
      <c r="B714" s="6">
        <v>28161</v>
      </c>
      <c r="C714" s="6" t="str">
        <f t="shared" si="207"/>
        <v>Active/Unavailable</v>
      </c>
      <c r="D714" s="5" t="s">
        <v>18</v>
      </c>
      <c r="E714" s="5" t="s">
        <v>2579</v>
      </c>
      <c r="F714" s="5" t="s">
        <v>1975</v>
      </c>
      <c r="G714" s="5" t="str">
        <f t="shared" si="200"/>
        <v>Not Available</v>
      </c>
      <c r="H714" s="5" t="s">
        <v>558</v>
      </c>
      <c r="I714" s="5" t="s">
        <v>22</v>
      </c>
      <c r="J714" s="5" t="s">
        <v>3387</v>
      </c>
      <c r="K714" s="5" t="s">
        <v>3393</v>
      </c>
      <c r="L714" s="5" t="s">
        <v>23</v>
      </c>
      <c r="M714" s="5" t="s">
        <v>3515</v>
      </c>
      <c r="N714" s="5" t="s">
        <v>2580</v>
      </c>
      <c r="O714" s="5" t="s">
        <v>33</v>
      </c>
      <c r="P714" s="5" t="s">
        <v>26</v>
      </c>
      <c r="Q714" s="5" t="s">
        <v>34</v>
      </c>
      <c r="R714" s="5">
        <v>2151</v>
      </c>
      <c r="S714" s="5">
        <v>42.344087341522197</v>
      </c>
      <c r="T714" s="5">
        <v>-71.01333889</v>
      </c>
    </row>
    <row r="715" spans="1:20" x14ac:dyDescent="0.3">
      <c r="A715" s="5" t="s">
        <v>2581</v>
      </c>
      <c r="B715" s="6">
        <v>19175</v>
      </c>
      <c r="C715" s="6" t="str">
        <f t="shared" si="207"/>
        <v>Active/Unavailable</v>
      </c>
      <c r="D715" s="5" t="s">
        <v>29</v>
      </c>
      <c r="E715" s="5" t="s">
        <v>331</v>
      </c>
      <c r="F715" s="5" t="s">
        <v>2582</v>
      </c>
      <c r="G715" s="5" t="str">
        <f t="shared" si="200"/>
        <v>Not Available</v>
      </c>
      <c r="H715" s="5" t="str">
        <f>"Not Available"</f>
        <v>Not Available</v>
      </c>
      <c r="I715" s="5" t="s">
        <v>22</v>
      </c>
      <c r="J715" s="5" t="s">
        <v>3387</v>
      </c>
      <c r="K715" s="5" t="s">
        <v>3394</v>
      </c>
      <c r="L715" s="5" t="s">
        <v>22</v>
      </c>
      <c r="M715" s="5" t="s">
        <v>3585</v>
      </c>
      <c r="N715" s="5" t="s">
        <v>2583</v>
      </c>
      <c r="O715" s="5" t="s">
        <v>33</v>
      </c>
      <c r="P715" s="5" t="s">
        <v>26</v>
      </c>
      <c r="Q715" s="5" t="s">
        <v>34</v>
      </c>
      <c r="R715" s="5">
        <v>2124</v>
      </c>
      <c r="S715" s="5">
        <v>42.358967074044799</v>
      </c>
      <c r="T715" s="5">
        <v>-71.066373929999997</v>
      </c>
    </row>
    <row r="716" spans="1:20" x14ac:dyDescent="0.3">
      <c r="A716" s="5" t="s">
        <v>2584</v>
      </c>
      <c r="B716" s="6">
        <v>19482</v>
      </c>
      <c r="C716" s="6" t="str">
        <f t="shared" si="207"/>
        <v>Active/Unavailable</v>
      </c>
      <c r="D716" s="5" t="s">
        <v>18</v>
      </c>
      <c r="E716" s="5" t="s">
        <v>2585</v>
      </c>
      <c r="F716" s="5" t="s">
        <v>1062</v>
      </c>
      <c r="G716" s="5" t="str">
        <f t="shared" si="200"/>
        <v>Not Available</v>
      </c>
      <c r="H716" s="5" t="s">
        <v>2064</v>
      </c>
      <c r="I716" s="5" t="s">
        <v>22</v>
      </c>
      <c r="J716" s="5" t="s">
        <v>3389</v>
      </c>
      <c r="K716" s="5" t="s">
        <v>3393</v>
      </c>
      <c r="L716" s="5" t="s">
        <v>23</v>
      </c>
      <c r="M716" s="5" t="s">
        <v>3433</v>
      </c>
      <c r="N716" s="5" t="s">
        <v>2586</v>
      </c>
      <c r="O716" s="5" t="s">
        <v>145</v>
      </c>
      <c r="P716" s="5" t="s">
        <v>26</v>
      </c>
      <c r="Q716" s="5" t="s">
        <v>57</v>
      </c>
      <c r="R716" s="5" t="str">
        <f>"0000"</f>
        <v>0000</v>
      </c>
      <c r="S716" s="5">
        <v>42.383347712866801</v>
      </c>
      <c r="T716" s="5">
        <v>-71.05663887</v>
      </c>
    </row>
    <row r="717" spans="1:20" x14ac:dyDescent="0.3">
      <c r="A717" s="5" t="s">
        <v>2587</v>
      </c>
      <c r="B717" s="6">
        <v>27418</v>
      </c>
      <c r="C717" s="6" t="str">
        <f t="shared" si="207"/>
        <v>Active/Unavailable</v>
      </c>
      <c r="D717" s="5" t="s">
        <v>29</v>
      </c>
      <c r="E717" s="5" t="s">
        <v>2588</v>
      </c>
      <c r="F717" s="5" t="s">
        <v>82</v>
      </c>
      <c r="G717" s="5" t="str">
        <f t="shared" si="200"/>
        <v>Not Available</v>
      </c>
      <c r="H717" s="5" t="str">
        <f t="shared" ref="H717:H720" si="208">"Not Available"</f>
        <v>Not Available</v>
      </c>
      <c r="I717" s="5" t="s">
        <v>22</v>
      </c>
      <c r="J717" s="5" t="s">
        <v>3387</v>
      </c>
      <c r="K717" s="5" t="s">
        <v>3393</v>
      </c>
      <c r="L717" s="5" t="s">
        <v>22</v>
      </c>
      <c r="M717" s="5" t="s">
        <v>3657</v>
      </c>
      <c r="N717" s="5" t="s">
        <v>2589</v>
      </c>
      <c r="O717" s="5" t="s">
        <v>587</v>
      </c>
      <c r="P717" s="5" t="s">
        <v>26</v>
      </c>
      <c r="Q717" s="5" t="s">
        <v>27</v>
      </c>
      <c r="R717" s="5">
        <v>2184</v>
      </c>
      <c r="S717" s="5">
        <v>42.251392795527501</v>
      </c>
      <c r="T717" s="5">
        <v>-70.995406369999998</v>
      </c>
    </row>
    <row r="718" spans="1:20" x14ac:dyDescent="0.3">
      <c r="A718" s="5" t="s">
        <v>2590</v>
      </c>
      <c r="B718" s="6">
        <v>11571</v>
      </c>
      <c r="C718" s="6" t="str">
        <f t="shared" si="207"/>
        <v>Active/Unavailable</v>
      </c>
      <c r="D718" s="5" t="s">
        <v>29</v>
      </c>
      <c r="E718" s="5" t="s">
        <v>2591</v>
      </c>
      <c r="F718" s="5" t="s">
        <v>1352</v>
      </c>
      <c r="G718" s="5" t="str">
        <f t="shared" si="200"/>
        <v>Not Available</v>
      </c>
      <c r="H718" s="5" t="str">
        <f t="shared" si="208"/>
        <v>Not Available</v>
      </c>
      <c r="I718" s="5" t="s">
        <v>22</v>
      </c>
      <c r="J718" s="5" t="s">
        <v>3387</v>
      </c>
      <c r="K718" s="5" t="s">
        <v>3393</v>
      </c>
      <c r="L718" s="5" t="s">
        <v>22</v>
      </c>
      <c r="M718" s="5" t="s">
        <v>3622</v>
      </c>
      <c r="N718" s="5" t="s">
        <v>2592</v>
      </c>
      <c r="O718" s="5" t="s">
        <v>33</v>
      </c>
      <c r="P718" s="5" t="s">
        <v>26</v>
      </c>
      <c r="Q718" s="5" t="s">
        <v>34</v>
      </c>
      <c r="R718" s="5">
        <v>2203</v>
      </c>
      <c r="S718" s="5">
        <v>42.381454170975204</v>
      </c>
      <c r="T718" s="5">
        <v>-71.05278955</v>
      </c>
    </row>
    <row r="719" spans="1:20" x14ac:dyDescent="0.3">
      <c r="A719" s="5" t="s">
        <v>2593</v>
      </c>
      <c r="B719" s="6">
        <v>24721</v>
      </c>
      <c r="C719" s="6" t="str">
        <f t="shared" si="207"/>
        <v>Active/Unavailable</v>
      </c>
      <c r="D719" s="5" t="s">
        <v>100</v>
      </c>
      <c r="E719" s="5" t="s">
        <v>2594</v>
      </c>
      <c r="F719" s="5" t="s">
        <v>2595</v>
      </c>
      <c r="G719" s="5" t="str">
        <f t="shared" ref="G719:G743" si="209">"Not Available"</f>
        <v>Not Available</v>
      </c>
      <c r="H719" s="5" t="str">
        <f t="shared" si="208"/>
        <v>Not Available</v>
      </c>
      <c r="I719" s="5" t="s">
        <v>65</v>
      </c>
      <c r="J719" s="5" t="s">
        <v>3387</v>
      </c>
      <c r="K719" s="5" t="s">
        <v>3393</v>
      </c>
      <c r="L719" s="5" t="s">
        <v>23</v>
      </c>
      <c r="M719" s="5" t="s">
        <v>3641</v>
      </c>
      <c r="N719" s="5" t="s">
        <v>2596</v>
      </c>
      <c r="O719" s="5" t="s">
        <v>2597</v>
      </c>
      <c r="P719" s="5" t="s">
        <v>26</v>
      </c>
      <c r="Q719" s="5" t="s">
        <v>317</v>
      </c>
      <c r="R719" s="5">
        <v>2060</v>
      </c>
      <c r="S719" s="5">
        <v>42.219381599292802</v>
      </c>
      <c r="T719" s="5">
        <v>-70.741548370000004</v>
      </c>
    </row>
    <row r="720" spans="1:20" x14ac:dyDescent="0.3">
      <c r="A720" s="5" t="s">
        <v>2598</v>
      </c>
      <c r="B720" s="6">
        <v>21966</v>
      </c>
      <c r="C720" s="6" t="str">
        <f t="shared" si="207"/>
        <v>Active/Unavailable</v>
      </c>
      <c r="D720" s="5" t="s">
        <v>29</v>
      </c>
      <c r="E720" s="5" t="s">
        <v>2599</v>
      </c>
      <c r="F720" s="5" t="s">
        <v>366</v>
      </c>
      <c r="G720" s="5" t="str">
        <f t="shared" si="209"/>
        <v>Not Available</v>
      </c>
      <c r="H720" s="5" t="str">
        <f t="shared" si="208"/>
        <v>Not Available</v>
      </c>
      <c r="I720" s="5" t="s">
        <v>22</v>
      </c>
      <c r="J720" s="5" t="s">
        <v>3387</v>
      </c>
      <c r="K720" s="5" t="s">
        <v>3394</v>
      </c>
      <c r="L720" s="5" t="s">
        <v>22</v>
      </c>
      <c r="M720" s="5" t="s">
        <v>3400</v>
      </c>
      <c r="N720" s="5" t="s">
        <v>2600</v>
      </c>
      <c r="O720" s="5" t="s">
        <v>145</v>
      </c>
      <c r="P720" s="5" t="s">
        <v>26</v>
      </c>
      <c r="Q720" s="5" t="s">
        <v>57</v>
      </c>
      <c r="R720" s="5" t="str">
        <f t="shared" ref="R720:R721" si="210">"0000"</f>
        <v>0000</v>
      </c>
      <c r="S720" s="5">
        <v>42.381024483766197</v>
      </c>
      <c r="T720" s="5">
        <v>-71.046178029999993</v>
      </c>
    </row>
    <row r="721" spans="1:20" x14ac:dyDescent="0.3">
      <c r="A721" s="5" t="s">
        <v>2601</v>
      </c>
      <c r="B721" s="6">
        <v>18751</v>
      </c>
      <c r="C721" s="6" t="str">
        <f t="shared" si="207"/>
        <v>Active/Unavailable</v>
      </c>
      <c r="D721" s="5" t="s">
        <v>18</v>
      </c>
      <c r="E721" s="5" t="s">
        <v>2602</v>
      </c>
      <c r="F721" s="5" t="s">
        <v>2603</v>
      </c>
      <c r="G721" s="5" t="str">
        <f t="shared" si="209"/>
        <v>Not Available</v>
      </c>
      <c r="H721" s="5" t="s">
        <v>2604</v>
      </c>
      <c r="I721" s="5" t="s">
        <v>22</v>
      </c>
      <c r="J721" s="5" t="s">
        <v>3387</v>
      </c>
      <c r="K721" s="5" t="s">
        <v>3393</v>
      </c>
      <c r="L721" s="5" t="s">
        <v>23</v>
      </c>
      <c r="M721" s="5" t="s">
        <v>3404</v>
      </c>
      <c r="N721" s="5" t="s">
        <v>2605</v>
      </c>
      <c r="O721" s="5" t="s">
        <v>108</v>
      </c>
      <c r="P721" s="5" t="s">
        <v>26</v>
      </c>
      <c r="Q721" s="5" t="s">
        <v>34</v>
      </c>
      <c r="R721" s="5" t="str">
        <f t="shared" si="210"/>
        <v>0000</v>
      </c>
      <c r="S721" s="5">
        <v>42.374554616857701</v>
      </c>
      <c r="T721" s="5">
        <v>-71.003596360000003</v>
      </c>
    </row>
    <row r="722" spans="1:20" x14ac:dyDescent="0.3">
      <c r="A722" s="5" t="s">
        <v>2606</v>
      </c>
      <c r="B722" s="6">
        <v>31466</v>
      </c>
      <c r="C722" s="6" t="str">
        <f t="shared" si="207"/>
        <v>Active/Unavailable</v>
      </c>
      <c r="D722" s="5" t="s">
        <v>18</v>
      </c>
      <c r="E722" s="5" t="s">
        <v>2607</v>
      </c>
      <c r="F722" s="5" t="s">
        <v>625</v>
      </c>
      <c r="G722" s="5" t="str">
        <f t="shared" si="209"/>
        <v>Not Available</v>
      </c>
      <c r="H722" s="5" t="s">
        <v>1610</v>
      </c>
      <c r="I722" s="5" t="s">
        <v>22</v>
      </c>
      <c r="J722" s="5" t="s">
        <v>3387</v>
      </c>
      <c r="K722" s="5" t="s">
        <v>3393</v>
      </c>
      <c r="L722" s="5" t="s">
        <v>23</v>
      </c>
      <c r="M722" s="5" t="s">
        <v>3400</v>
      </c>
      <c r="N722" s="5" t="s">
        <v>2608</v>
      </c>
      <c r="O722" s="5" t="s">
        <v>209</v>
      </c>
      <c r="P722" s="5" t="s">
        <v>26</v>
      </c>
      <c r="Q722" s="5" t="s">
        <v>27</v>
      </c>
      <c r="R722" s="5">
        <v>2190</v>
      </c>
      <c r="S722" s="5">
        <v>42.219158776754902</v>
      </c>
      <c r="T722" s="5">
        <v>-70.893873859999999</v>
      </c>
    </row>
    <row r="723" spans="1:20" x14ac:dyDescent="0.3">
      <c r="A723" s="5" t="s">
        <v>2609</v>
      </c>
      <c r="B723" s="6">
        <v>30393</v>
      </c>
      <c r="C723" s="6" t="str">
        <f t="shared" si="207"/>
        <v>Active/Unavailable</v>
      </c>
      <c r="D723" s="5" t="s">
        <v>29</v>
      </c>
      <c r="E723" s="5" t="s">
        <v>2610</v>
      </c>
      <c r="F723" s="5" t="s">
        <v>31</v>
      </c>
      <c r="G723" s="5" t="str">
        <f t="shared" si="209"/>
        <v>Not Available</v>
      </c>
      <c r="H723" s="5" t="str">
        <f>"Not Available"</f>
        <v>Not Available</v>
      </c>
      <c r="I723" s="5" t="s">
        <v>22</v>
      </c>
      <c r="J723" s="5" t="s">
        <v>3387</v>
      </c>
      <c r="K723" s="5" t="s">
        <v>3393</v>
      </c>
      <c r="L723" s="5" t="s">
        <v>22</v>
      </c>
      <c r="M723" s="5" t="s">
        <v>3658</v>
      </c>
      <c r="N723" s="5" t="s">
        <v>2611</v>
      </c>
      <c r="O723" s="5" t="s">
        <v>33</v>
      </c>
      <c r="P723" s="5" t="s">
        <v>26</v>
      </c>
      <c r="Q723" s="5" t="s">
        <v>34</v>
      </c>
      <c r="R723" s="5">
        <v>2118</v>
      </c>
      <c r="S723" s="5">
        <v>42.350044219523397</v>
      </c>
      <c r="T723" s="5">
        <v>-71.056642069999995</v>
      </c>
    </row>
    <row r="724" spans="1:20" x14ac:dyDescent="0.3">
      <c r="A724" s="5" t="s">
        <v>2612</v>
      </c>
      <c r="B724" s="6">
        <v>22370</v>
      </c>
      <c r="C724" s="6" t="str">
        <f t="shared" si="207"/>
        <v>Active/Unavailable</v>
      </c>
      <c r="D724" s="5" t="s">
        <v>18</v>
      </c>
      <c r="E724" s="5" t="s">
        <v>2300</v>
      </c>
      <c r="F724" s="5" t="s">
        <v>2613</v>
      </c>
      <c r="G724" s="5" t="str">
        <f t="shared" si="209"/>
        <v>Not Available</v>
      </c>
      <c r="H724" s="5" t="s">
        <v>625</v>
      </c>
      <c r="I724" s="5" t="s">
        <v>22</v>
      </c>
      <c r="J724" s="5" t="s">
        <v>3387</v>
      </c>
      <c r="K724" s="5" t="s">
        <v>3393</v>
      </c>
      <c r="L724" s="5" t="s">
        <v>23</v>
      </c>
      <c r="M724" s="5" t="s">
        <v>3509</v>
      </c>
      <c r="N724" s="5" t="s">
        <v>2614</v>
      </c>
      <c r="O724" s="5" t="s">
        <v>25</v>
      </c>
      <c r="P724" s="5" t="s">
        <v>26</v>
      </c>
      <c r="Q724" s="5" t="s">
        <v>27</v>
      </c>
      <c r="R724" s="5">
        <v>2186</v>
      </c>
      <c r="S724" s="5">
        <v>42.312542760336598</v>
      </c>
      <c r="T724" s="5">
        <v>-71.053648150000001</v>
      </c>
    </row>
    <row r="725" spans="1:20" x14ac:dyDescent="0.3">
      <c r="A725" s="5" t="s">
        <v>2615</v>
      </c>
      <c r="B725" s="6">
        <v>13312</v>
      </c>
      <c r="C725" s="6">
        <v>40876</v>
      </c>
      <c r="D725" s="5" t="s">
        <v>29</v>
      </c>
      <c r="E725" s="5" t="s">
        <v>2616</v>
      </c>
      <c r="F725" s="5" t="s">
        <v>905</v>
      </c>
      <c r="G725" s="5" t="str">
        <f t="shared" si="209"/>
        <v>Not Available</v>
      </c>
      <c r="H725" s="5" t="str">
        <f t="shared" ref="H725:H729" si="211">"Not Available"</f>
        <v>Not Available</v>
      </c>
      <c r="I725" s="5" t="s">
        <v>22</v>
      </c>
      <c r="J725" s="5" t="s">
        <v>3389</v>
      </c>
      <c r="K725" s="5" t="s">
        <v>3394</v>
      </c>
      <c r="L725" s="5" t="s">
        <v>22</v>
      </c>
      <c r="M725" s="5" t="s">
        <v>3573</v>
      </c>
      <c r="N725" s="5" t="s">
        <v>2617</v>
      </c>
      <c r="O725" s="5" t="s">
        <v>33</v>
      </c>
      <c r="P725" s="5" t="s">
        <v>26</v>
      </c>
      <c r="Q725" s="5" t="s">
        <v>34</v>
      </c>
      <c r="R725" s="5">
        <v>2203</v>
      </c>
      <c r="S725" s="5">
        <v>42.375221299720401</v>
      </c>
      <c r="T725" s="5">
        <v>-70.95992459</v>
      </c>
    </row>
    <row r="726" spans="1:20" x14ac:dyDescent="0.3">
      <c r="A726" s="5" t="s">
        <v>2618</v>
      </c>
      <c r="B726" s="6">
        <v>13312</v>
      </c>
      <c r="C726" s="6" t="str">
        <f t="shared" ref="C726:C735" si="212">"Active/Unavailable"</f>
        <v>Active/Unavailable</v>
      </c>
      <c r="D726" s="5" t="s">
        <v>29</v>
      </c>
      <c r="E726" s="5" t="s">
        <v>2150</v>
      </c>
      <c r="F726" s="5" t="s">
        <v>921</v>
      </c>
      <c r="G726" s="5" t="str">
        <f t="shared" si="209"/>
        <v>Not Available</v>
      </c>
      <c r="H726" s="5" t="str">
        <f t="shared" si="211"/>
        <v>Not Available</v>
      </c>
      <c r="I726" s="5" t="s">
        <v>65</v>
      </c>
      <c r="J726" s="5" t="s">
        <v>3389</v>
      </c>
      <c r="K726" s="5" t="s">
        <v>3394</v>
      </c>
      <c r="L726" s="5" t="s">
        <v>22</v>
      </c>
      <c r="M726" s="5" t="s">
        <v>3447</v>
      </c>
      <c r="N726" s="5" t="s">
        <v>2619</v>
      </c>
      <c r="O726" s="5" t="s">
        <v>33</v>
      </c>
      <c r="P726" s="5" t="s">
        <v>26</v>
      </c>
      <c r="Q726" s="5" t="s">
        <v>34</v>
      </c>
      <c r="R726" s="5">
        <v>2199</v>
      </c>
      <c r="S726" s="5">
        <v>42.3613021502333</v>
      </c>
      <c r="T726" s="5">
        <v>-71.031531439999995</v>
      </c>
    </row>
    <row r="727" spans="1:20" x14ac:dyDescent="0.3">
      <c r="A727" s="5" t="s">
        <v>2620</v>
      </c>
      <c r="B727" s="6">
        <v>23869</v>
      </c>
      <c r="C727" s="6" t="str">
        <f t="shared" si="212"/>
        <v>Active/Unavailable</v>
      </c>
      <c r="D727" s="5" t="s">
        <v>29</v>
      </c>
      <c r="E727" s="5" t="s">
        <v>2621</v>
      </c>
      <c r="F727" s="5" t="s">
        <v>3365</v>
      </c>
      <c r="G727" s="5" t="str">
        <f t="shared" si="209"/>
        <v>Not Available</v>
      </c>
      <c r="H727" s="5" t="str">
        <f t="shared" si="211"/>
        <v>Not Available</v>
      </c>
      <c r="I727" s="5" t="s">
        <v>22</v>
      </c>
      <c r="J727" s="5" t="s">
        <v>3387</v>
      </c>
      <c r="K727" s="5" t="s">
        <v>3393</v>
      </c>
      <c r="L727" s="5" t="s">
        <v>22</v>
      </c>
      <c r="M727" s="5" t="s">
        <v>3659</v>
      </c>
      <c r="N727" s="5" t="s">
        <v>2622</v>
      </c>
      <c r="O727" s="5" t="s">
        <v>33</v>
      </c>
      <c r="P727" s="5" t="s">
        <v>26</v>
      </c>
      <c r="Q727" s="5" t="s">
        <v>34</v>
      </c>
      <c r="R727" s="5">
        <v>2128</v>
      </c>
      <c r="S727" s="5">
        <v>42.3484707715753</v>
      </c>
      <c r="T727" s="5">
        <v>-71.015862970000001</v>
      </c>
    </row>
    <row r="728" spans="1:20" x14ac:dyDescent="0.3">
      <c r="A728" s="5" t="s">
        <v>2623</v>
      </c>
      <c r="B728" s="6">
        <v>9356</v>
      </c>
      <c r="C728" s="6" t="str">
        <f t="shared" si="212"/>
        <v>Active/Unavailable</v>
      </c>
      <c r="D728" s="5" t="s">
        <v>29</v>
      </c>
      <c r="E728" s="5" t="s">
        <v>2624</v>
      </c>
      <c r="F728" s="5" t="s">
        <v>472</v>
      </c>
      <c r="G728" s="5" t="str">
        <f t="shared" si="209"/>
        <v>Not Available</v>
      </c>
      <c r="H728" s="5" t="str">
        <f t="shared" si="211"/>
        <v>Not Available</v>
      </c>
      <c r="I728" s="5" t="s">
        <v>22</v>
      </c>
      <c r="J728" s="5" t="s">
        <v>3389</v>
      </c>
      <c r="K728" s="5" t="s">
        <v>3393</v>
      </c>
      <c r="L728" s="5" t="s">
        <v>22</v>
      </c>
      <c r="M728" s="5" t="s">
        <v>3640</v>
      </c>
      <c r="N728" s="5" t="s">
        <v>2625</v>
      </c>
      <c r="O728" s="5" t="s">
        <v>33</v>
      </c>
      <c r="P728" s="5" t="s">
        <v>26</v>
      </c>
      <c r="Q728" s="5" t="s">
        <v>34</v>
      </c>
      <c r="R728" s="5">
        <v>2129</v>
      </c>
      <c r="S728" s="5">
        <v>42.310216908196999</v>
      </c>
      <c r="T728" s="5">
        <v>-71.067998919999994</v>
      </c>
    </row>
    <row r="729" spans="1:20" x14ac:dyDescent="0.3">
      <c r="A729" s="5" t="s">
        <v>2626</v>
      </c>
      <c r="B729" s="6">
        <v>12804</v>
      </c>
      <c r="C729" s="6" t="str">
        <f t="shared" si="212"/>
        <v>Active/Unavailable</v>
      </c>
      <c r="D729" s="5" t="s">
        <v>29</v>
      </c>
      <c r="E729" s="5" t="s">
        <v>2627</v>
      </c>
      <c r="F729" s="5" t="s">
        <v>1152</v>
      </c>
      <c r="G729" s="5" t="str">
        <f t="shared" si="209"/>
        <v>Not Available</v>
      </c>
      <c r="H729" s="5" t="str">
        <f t="shared" si="211"/>
        <v>Not Available</v>
      </c>
      <c r="I729" s="5" t="s">
        <v>22</v>
      </c>
      <c r="J729" s="5" t="s">
        <v>3387</v>
      </c>
      <c r="K729" s="5" t="s">
        <v>3393</v>
      </c>
      <c r="L729" s="5" t="s">
        <v>22</v>
      </c>
      <c r="M729" s="5" t="s">
        <v>3631</v>
      </c>
      <c r="N729" s="5" t="s">
        <v>2628</v>
      </c>
      <c r="O729" s="5" t="s">
        <v>33</v>
      </c>
      <c r="P729" s="5" t="s">
        <v>26</v>
      </c>
      <c r="Q729" s="5" t="s">
        <v>34</v>
      </c>
      <c r="R729" s="5">
        <v>2210</v>
      </c>
      <c r="S729" s="5">
        <v>42.379614565864202</v>
      </c>
      <c r="T729" s="5">
        <v>-70.925684700000005</v>
      </c>
    </row>
    <row r="730" spans="1:20" x14ac:dyDescent="0.3">
      <c r="A730" s="5" t="s">
        <v>2629</v>
      </c>
      <c r="B730" s="6">
        <v>20192</v>
      </c>
      <c r="C730" s="6" t="str">
        <f t="shared" si="212"/>
        <v>Active/Unavailable</v>
      </c>
      <c r="D730" s="5" t="s">
        <v>18</v>
      </c>
      <c r="E730" s="5" t="s">
        <v>2630</v>
      </c>
      <c r="F730" s="5" t="s">
        <v>2203</v>
      </c>
      <c r="G730" s="5" t="str">
        <f t="shared" si="209"/>
        <v>Not Available</v>
      </c>
      <c r="H730" s="5" t="s">
        <v>2532</v>
      </c>
      <c r="I730" s="5" t="s">
        <v>22</v>
      </c>
      <c r="J730" s="5" t="s">
        <v>3389</v>
      </c>
      <c r="K730" s="5" t="s">
        <v>3393</v>
      </c>
      <c r="L730" s="5" t="s">
        <v>23</v>
      </c>
      <c r="M730" s="5" t="s">
        <v>3414</v>
      </c>
      <c r="N730" s="5" t="s">
        <v>2631</v>
      </c>
      <c r="O730" s="5" t="s">
        <v>33</v>
      </c>
      <c r="P730" s="5" t="s">
        <v>26</v>
      </c>
      <c r="Q730" s="5" t="s">
        <v>34</v>
      </c>
      <c r="R730" s="5">
        <v>2122</v>
      </c>
      <c r="S730" s="5">
        <v>42.360251359970697</v>
      </c>
      <c r="T730" s="5">
        <v>-71.104151880000003</v>
      </c>
    </row>
    <row r="731" spans="1:20" x14ac:dyDescent="0.3">
      <c r="A731" s="5" t="s">
        <v>2632</v>
      </c>
      <c r="B731" s="6">
        <v>21878</v>
      </c>
      <c r="C731" s="6" t="str">
        <f t="shared" si="212"/>
        <v>Active/Unavailable</v>
      </c>
      <c r="D731" s="5" t="s">
        <v>18</v>
      </c>
      <c r="E731" s="5" t="s">
        <v>2633</v>
      </c>
      <c r="F731" s="5" t="s">
        <v>2175</v>
      </c>
      <c r="G731" s="5" t="str">
        <f t="shared" si="209"/>
        <v>Not Available</v>
      </c>
      <c r="H731" s="5" t="s">
        <v>625</v>
      </c>
      <c r="I731" s="5" t="s">
        <v>22</v>
      </c>
      <c r="J731" s="5" t="s">
        <v>3389</v>
      </c>
      <c r="K731" s="5" t="s">
        <v>3393</v>
      </c>
      <c r="L731" s="5" t="s">
        <v>23</v>
      </c>
      <c r="M731" s="5" t="s">
        <v>3400</v>
      </c>
      <c r="N731" s="5" t="s">
        <v>2634</v>
      </c>
      <c r="O731" s="5" t="s">
        <v>209</v>
      </c>
      <c r="P731" s="5" t="s">
        <v>26</v>
      </c>
      <c r="Q731" s="5" t="s">
        <v>27</v>
      </c>
      <c r="R731" s="5">
        <v>2189</v>
      </c>
      <c r="S731" s="5">
        <v>42.218001748023703</v>
      </c>
      <c r="T731" s="5">
        <v>-70.936152930000006</v>
      </c>
    </row>
    <row r="732" spans="1:20" x14ac:dyDescent="0.3">
      <c r="A732" s="5" t="s">
        <v>2635</v>
      </c>
      <c r="B732" s="6">
        <v>13067</v>
      </c>
      <c r="C732" s="6" t="str">
        <f t="shared" si="212"/>
        <v>Active/Unavailable</v>
      </c>
      <c r="D732" s="5" t="s">
        <v>29</v>
      </c>
      <c r="E732" s="5" t="s">
        <v>2636</v>
      </c>
      <c r="F732" s="5" t="s">
        <v>64</v>
      </c>
      <c r="G732" s="5" t="str">
        <f t="shared" si="209"/>
        <v>Not Available</v>
      </c>
      <c r="H732" s="5" t="str">
        <f>"Not Available"</f>
        <v>Not Available</v>
      </c>
      <c r="I732" s="5" t="s">
        <v>22</v>
      </c>
      <c r="J732" s="5" t="s">
        <v>3387</v>
      </c>
      <c r="K732" s="5" t="s">
        <v>3393</v>
      </c>
      <c r="L732" s="5" t="s">
        <v>22</v>
      </c>
      <c r="M732" s="5" t="s">
        <v>3442</v>
      </c>
      <c r="N732" s="5" t="s">
        <v>2637</v>
      </c>
      <c r="O732" s="5" t="s">
        <v>33</v>
      </c>
      <c r="P732" s="5" t="s">
        <v>26</v>
      </c>
      <c r="Q732" s="5" t="s">
        <v>34</v>
      </c>
      <c r="R732" s="5">
        <v>2215</v>
      </c>
      <c r="S732" s="5">
        <v>42.332637088966202</v>
      </c>
      <c r="T732" s="5">
        <v>-71.073000039999997</v>
      </c>
    </row>
    <row r="733" spans="1:20" x14ac:dyDescent="0.3">
      <c r="A733" s="5" t="s">
        <v>2638</v>
      </c>
      <c r="B733" s="6">
        <v>26313</v>
      </c>
      <c r="C733" s="6" t="str">
        <f t="shared" si="212"/>
        <v>Active/Unavailable</v>
      </c>
      <c r="D733" s="5" t="s">
        <v>18</v>
      </c>
      <c r="E733" s="5" t="s">
        <v>2639</v>
      </c>
      <c r="F733" s="5" t="s">
        <v>259</v>
      </c>
      <c r="G733" s="5" t="str">
        <f t="shared" si="209"/>
        <v>Not Available</v>
      </c>
      <c r="H733" s="5" t="s">
        <v>1432</v>
      </c>
      <c r="I733" s="5" t="s">
        <v>22</v>
      </c>
      <c r="J733" s="5" t="s">
        <v>3387</v>
      </c>
      <c r="K733" s="5" t="s">
        <v>3394</v>
      </c>
      <c r="L733" s="5" t="s">
        <v>23</v>
      </c>
      <c r="M733" s="5" t="s">
        <v>3660</v>
      </c>
      <c r="N733" s="5" t="s">
        <v>2640</v>
      </c>
      <c r="O733" s="5" t="s">
        <v>33</v>
      </c>
      <c r="P733" s="5" t="s">
        <v>26</v>
      </c>
      <c r="Q733" s="5" t="s">
        <v>34</v>
      </c>
      <c r="R733" s="5">
        <v>2130</v>
      </c>
      <c r="S733" s="5">
        <v>42.347774549624198</v>
      </c>
      <c r="T733" s="5">
        <v>-71.054946090000001</v>
      </c>
    </row>
    <row r="734" spans="1:20" x14ac:dyDescent="0.3">
      <c r="A734" s="5" t="s">
        <v>2641</v>
      </c>
      <c r="B734" s="6">
        <v>20371</v>
      </c>
      <c r="C734" s="6" t="str">
        <f t="shared" si="212"/>
        <v>Active/Unavailable</v>
      </c>
      <c r="D734" s="5" t="s">
        <v>29</v>
      </c>
      <c r="E734" s="5" t="s">
        <v>741</v>
      </c>
      <c r="F734" s="5" t="s">
        <v>3377</v>
      </c>
      <c r="G734" s="5" t="str">
        <f t="shared" si="209"/>
        <v>Not Available</v>
      </c>
      <c r="H734" s="5" t="str">
        <f>"Not Available"</f>
        <v>Not Available</v>
      </c>
      <c r="I734" s="5" t="s">
        <v>22</v>
      </c>
      <c r="J734" s="5" t="s">
        <v>3389</v>
      </c>
      <c r="K734" s="5" t="s">
        <v>3393</v>
      </c>
      <c r="L734" s="5" t="s">
        <v>22</v>
      </c>
      <c r="M734" s="5" t="s">
        <v>3461</v>
      </c>
      <c r="N734" s="5" t="s">
        <v>3707</v>
      </c>
      <c r="O734" s="5" t="s">
        <v>33</v>
      </c>
      <c r="P734" s="5" t="s">
        <v>26</v>
      </c>
      <c r="Q734" s="5" t="s">
        <v>34</v>
      </c>
      <c r="R734" s="5">
        <v>2210</v>
      </c>
      <c r="S734" s="5">
        <v>42.390614436243098</v>
      </c>
      <c r="T734" s="5">
        <v>-70.938538789999996</v>
      </c>
    </row>
    <row r="735" spans="1:20" x14ac:dyDescent="0.3">
      <c r="A735" s="5" t="s">
        <v>2642</v>
      </c>
      <c r="B735" s="6">
        <v>30830</v>
      </c>
      <c r="C735" s="6" t="str">
        <f t="shared" si="212"/>
        <v>Active/Unavailable</v>
      </c>
      <c r="D735" s="5" t="s">
        <v>18</v>
      </c>
      <c r="E735" s="5" t="s">
        <v>2643</v>
      </c>
      <c r="F735" s="5" t="s">
        <v>1946</v>
      </c>
      <c r="G735" s="5" t="str">
        <f t="shared" si="209"/>
        <v>Not Available</v>
      </c>
      <c r="H735" s="5" t="s">
        <v>2644</v>
      </c>
      <c r="I735" s="5" t="s">
        <v>22</v>
      </c>
      <c r="J735" s="5" t="s">
        <v>3387</v>
      </c>
      <c r="K735" s="5" t="s">
        <v>3393</v>
      </c>
      <c r="L735" s="5" t="s">
        <v>23</v>
      </c>
      <c r="M735" s="5" t="s">
        <v>3438</v>
      </c>
      <c r="N735" s="5" t="s">
        <v>2645</v>
      </c>
      <c r="O735" s="5" t="s">
        <v>136</v>
      </c>
      <c r="P735" s="5" t="s">
        <v>26</v>
      </c>
      <c r="Q735" s="5" t="s">
        <v>27</v>
      </c>
      <c r="R735" s="5" t="str">
        <f t="shared" ref="R735:R736" si="213">"0000"</f>
        <v>0000</v>
      </c>
      <c r="S735" s="5">
        <v>42.265644104431402</v>
      </c>
      <c r="T735" s="5">
        <v>-70.832991309999997</v>
      </c>
    </row>
    <row r="736" spans="1:20" x14ac:dyDescent="0.3">
      <c r="A736" s="5" t="s">
        <v>2646</v>
      </c>
      <c r="B736" s="6">
        <v>9858</v>
      </c>
      <c r="C736" s="6">
        <v>44218</v>
      </c>
      <c r="D736" s="5" t="s">
        <v>100</v>
      </c>
      <c r="E736" s="5" t="s">
        <v>2647</v>
      </c>
      <c r="F736" s="5" t="s">
        <v>2648</v>
      </c>
      <c r="G736" s="5" t="str">
        <f t="shared" si="209"/>
        <v>Not Available</v>
      </c>
      <c r="H736" s="5" t="str">
        <f>"Not Available"</f>
        <v>Not Available</v>
      </c>
      <c r="I736" s="5" t="s">
        <v>65</v>
      </c>
      <c r="J736" s="5" t="s">
        <v>3387</v>
      </c>
      <c r="K736" s="5" t="s">
        <v>3393</v>
      </c>
      <c r="L736" s="5" t="s">
        <v>23</v>
      </c>
      <c r="M736" s="5" t="s">
        <v>3396</v>
      </c>
      <c r="N736" s="5" t="s">
        <v>2649</v>
      </c>
      <c r="O736" s="5" t="s">
        <v>33</v>
      </c>
      <c r="P736" s="5" t="s">
        <v>26</v>
      </c>
      <c r="Q736" s="5" t="s">
        <v>34</v>
      </c>
      <c r="R736" s="5" t="str">
        <f t="shared" si="213"/>
        <v>0000</v>
      </c>
      <c r="S736" s="5">
        <v>42.359325236209898</v>
      </c>
      <c r="T736" s="5">
        <v>-71.057727790000001</v>
      </c>
    </row>
    <row r="737" spans="1:20" x14ac:dyDescent="0.3">
      <c r="A737" s="5" t="s">
        <v>2650</v>
      </c>
      <c r="B737" s="6">
        <v>9858</v>
      </c>
      <c r="C737" s="6">
        <v>41252</v>
      </c>
      <c r="D737" s="5" t="s">
        <v>18</v>
      </c>
      <c r="E737" s="5" t="s">
        <v>2651</v>
      </c>
      <c r="F737" s="5" t="s">
        <v>962</v>
      </c>
      <c r="G737" s="5" t="str">
        <f t="shared" si="209"/>
        <v>Not Available</v>
      </c>
      <c r="H737" s="5" t="s">
        <v>309</v>
      </c>
      <c r="I737" s="5" t="s">
        <v>22</v>
      </c>
      <c r="J737" s="5" t="s">
        <v>3387</v>
      </c>
      <c r="K737" s="5" t="s">
        <v>3393</v>
      </c>
      <c r="L737" s="5" t="s">
        <v>23</v>
      </c>
      <c r="M737" s="5" t="s">
        <v>3470</v>
      </c>
      <c r="N737" s="5" t="s">
        <v>2652</v>
      </c>
      <c r="O737" s="5" t="s">
        <v>33</v>
      </c>
      <c r="P737" s="5" t="s">
        <v>26</v>
      </c>
      <c r="Q737" s="5" t="s">
        <v>34</v>
      </c>
      <c r="R737" s="5">
        <v>2215</v>
      </c>
      <c r="S737" s="5">
        <v>42.357061138040599</v>
      </c>
      <c r="T737" s="5">
        <v>-70.953475789999999</v>
      </c>
    </row>
    <row r="738" spans="1:20" x14ac:dyDescent="0.3">
      <c r="A738" s="5" t="s">
        <v>2653</v>
      </c>
      <c r="B738" s="6">
        <v>21269</v>
      </c>
      <c r="C738" s="6" t="str">
        <f t="shared" ref="C738:C755" si="214">"Active/Unavailable"</f>
        <v>Active/Unavailable</v>
      </c>
      <c r="D738" s="5" t="s">
        <v>29</v>
      </c>
      <c r="E738" s="5" t="s">
        <v>2654</v>
      </c>
      <c r="F738" s="5" t="s">
        <v>320</v>
      </c>
      <c r="G738" s="5" t="str">
        <f t="shared" si="209"/>
        <v>Not Available</v>
      </c>
      <c r="H738" s="5" t="str">
        <f>"Not Available"</f>
        <v>Not Available</v>
      </c>
      <c r="I738" s="5" t="s">
        <v>65</v>
      </c>
      <c r="J738" s="5" t="s">
        <v>3387</v>
      </c>
      <c r="K738" s="5" t="s">
        <v>3393</v>
      </c>
      <c r="L738" s="5" t="s">
        <v>22</v>
      </c>
      <c r="M738" s="5" t="s">
        <v>3661</v>
      </c>
      <c r="N738" s="5" t="s">
        <v>3708</v>
      </c>
      <c r="O738" s="5" t="s">
        <v>33</v>
      </c>
      <c r="P738" s="5" t="s">
        <v>26</v>
      </c>
      <c r="Q738" s="5" t="s">
        <v>34</v>
      </c>
      <c r="R738" s="5">
        <v>2134</v>
      </c>
      <c r="S738" s="5">
        <v>42.332659739606598</v>
      </c>
      <c r="T738" s="5">
        <v>-71.042785199999997</v>
      </c>
    </row>
    <row r="739" spans="1:20" x14ac:dyDescent="0.3">
      <c r="A739" s="5" t="s">
        <v>2655</v>
      </c>
      <c r="B739" s="6">
        <v>23079</v>
      </c>
      <c r="C739" s="6" t="str">
        <f t="shared" si="214"/>
        <v>Active/Unavailable</v>
      </c>
      <c r="D739" s="5" t="s">
        <v>18</v>
      </c>
      <c r="E739" s="5" t="s">
        <v>2656</v>
      </c>
      <c r="F739" s="5" t="s">
        <v>2657</v>
      </c>
      <c r="G739" s="5" t="str">
        <f t="shared" si="209"/>
        <v>Not Available</v>
      </c>
      <c r="H739" s="5" t="s">
        <v>497</v>
      </c>
      <c r="I739" s="5" t="s">
        <v>22</v>
      </c>
      <c r="J739" s="5" t="s">
        <v>3388</v>
      </c>
      <c r="K739" s="5" t="s">
        <v>3393</v>
      </c>
      <c r="L739" s="5" t="s">
        <v>23</v>
      </c>
      <c r="M739" s="5" t="s">
        <v>3662</v>
      </c>
      <c r="N739" s="5" t="s">
        <v>2658</v>
      </c>
      <c r="O739" s="5" t="s">
        <v>33</v>
      </c>
      <c r="P739" s="5" t="s">
        <v>26</v>
      </c>
      <c r="Q739" s="5" t="s">
        <v>34</v>
      </c>
      <c r="R739" s="5">
        <v>2110</v>
      </c>
      <c r="S739" s="5">
        <v>42.3397417930478</v>
      </c>
      <c r="T739" s="5">
        <v>-71.068247799999995</v>
      </c>
    </row>
    <row r="740" spans="1:20" x14ac:dyDescent="0.3">
      <c r="A740" s="5" t="s">
        <v>2659</v>
      </c>
      <c r="B740" s="6">
        <v>12249</v>
      </c>
      <c r="C740" s="6" t="str">
        <f t="shared" si="214"/>
        <v>Active/Unavailable</v>
      </c>
      <c r="D740" s="5" t="s">
        <v>18</v>
      </c>
      <c r="E740" s="5" t="s">
        <v>2660</v>
      </c>
      <c r="F740" s="5" t="s">
        <v>484</v>
      </c>
      <c r="G740" s="5" t="str">
        <f t="shared" si="209"/>
        <v>Not Available</v>
      </c>
      <c r="H740" s="5" t="s">
        <v>124</v>
      </c>
      <c r="I740" s="5" t="s">
        <v>22</v>
      </c>
      <c r="J740" s="5" t="s">
        <v>3391</v>
      </c>
      <c r="K740" s="5" t="s">
        <v>3393</v>
      </c>
      <c r="L740" s="5" t="s">
        <v>23</v>
      </c>
      <c r="M740" s="5" t="s">
        <v>3618</v>
      </c>
      <c r="N740" s="5" t="s">
        <v>2661</v>
      </c>
      <c r="O740" s="5" t="s">
        <v>25</v>
      </c>
      <c r="P740" s="5" t="s">
        <v>26</v>
      </c>
      <c r="Q740" s="5" t="s">
        <v>27</v>
      </c>
      <c r="R740" s="5">
        <v>2170</v>
      </c>
      <c r="S740" s="5">
        <v>42.299818850000001</v>
      </c>
      <c r="T740" s="5">
        <v>-71.064757110000002</v>
      </c>
    </row>
    <row r="741" spans="1:20" x14ac:dyDescent="0.3">
      <c r="A741" s="5" t="s">
        <v>2662</v>
      </c>
      <c r="B741" s="6">
        <v>31111</v>
      </c>
      <c r="C741" s="6" t="str">
        <f t="shared" si="214"/>
        <v>Active/Unavailable</v>
      </c>
      <c r="D741" s="5" t="s">
        <v>29</v>
      </c>
      <c r="E741" s="5" t="s">
        <v>1942</v>
      </c>
      <c r="F741" s="5" t="s">
        <v>2663</v>
      </c>
      <c r="G741" s="5" t="str">
        <f t="shared" si="209"/>
        <v>Not Available</v>
      </c>
      <c r="H741" s="5" t="str">
        <f>"Not Available"</f>
        <v>Not Available</v>
      </c>
      <c r="I741" s="5" t="s">
        <v>65</v>
      </c>
      <c r="J741" s="5" t="s">
        <v>3389</v>
      </c>
      <c r="K741" s="5" t="s">
        <v>3394</v>
      </c>
      <c r="L741" s="5" t="s">
        <v>22</v>
      </c>
      <c r="M741" s="5" t="s">
        <v>3426</v>
      </c>
      <c r="N741" s="5" t="s">
        <v>2664</v>
      </c>
      <c r="O741" s="5" t="s">
        <v>33</v>
      </c>
      <c r="P741" s="5" t="s">
        <v>26</v>
      </c>
      <c r="Q741" s="5" t="s">
        <v>34</v>
      </c>
      <c r="R741" s="5" t="str">
        <f>"0000"</f>
        <v>0000</v>
      </c>
      <c r="S741" s="5">
        <v>42.3819448974401</v>
      </c>
      <c r="T741" s="5">
        <v>-71.045339859999999</v>
      </c>
    </row>
    <row r="742" spans="1:20" x14ac:dyDescent="0.3">
      <c r="A742" s="5" t="s">
        <v>2665</v>
      </c>
      <c r="B742" s="6">
        <v>12184</v>
      </c>
      <c r="C742" s="6" t="str">
        <f t="shared" si="214"/>
        <v>Active/Unavailable</v>
      </c>
      <c r="D742" s="5" t="s">
        <v>18</v>
      </c>
      <c r="E742" s="5" t="s">
        <v>2666</v>
      </c>
      <c r="F742" s="5" t="s">
        <v>2141</v>
      </c>
      <c r="G742" s="5" t="str">
        <f t="shared" si="209"/>
        <v>Not Available</v>
      </c>
      <c r="H742" s="5" t="s">
        <v>328</v>
      </c>
      <c r="I742" s="5" t="s">
        <v>22</v>
      </c>
      <c r="J742" s="5" t="s">
        <v>3389</v>
      </c>
      <c r="K742" s="5" t="s">
        <v>3393</v>
      </c>
      <c r="L742" s="5" t="s">
        <v>23</v>
      </c>
      <c r="M742" s="5" t="s">
        <v>3541</v>
      </c>
      <c r="N742" s="5" t="s">
        <v>2667</v>
      </c>
      <c r="O742" s="5" t="s">
        <v>33</v>
      </c>
      <c r="P742" s="5" t="s">
        <v>26</v>
      </c>
      <c r="Q742" s="5" t="s">
        <v>34</v>
      </c>
      <c r="R742" s="5">
        <v>2124</v>
      </c>
      <c r="S742" s="5">
        <v>42.349802919455399</v>
      </c>
      <c r="T742" s="5">
        <v>-71.022911980000003</v>
      </c>
    </row>
    <row r="743" spans="1:20" x14ac:dyDescent="0.3">
      <c r="A743" s="5" t="s">
        <v>2668</v>
      </c>
      <c r="B743" s="6">
        <v>24422</v>
      </c>
      <c r="C743" s="6" t="str">
        <f t="shared" si="214"/>
        <v>Active/Unavailable</v>
      </c>
      <c r="D743" s="5" t="s">
        <v>29</v>
      </c>
      <c r="E743" s="5" t="s">
        <v>958</v>
      </c>
      <c r="F743" s="5" t="s">
        <v>124</v>
      </c>
      <c r="G743" s="5" t="str">
        <f t="shared" si="209"/>
        <v>Not Available</v>
      </c>
      <c r="H743" s="5" t="str">
        <f>"Not Available"</f>
        <v>Not Available</v>
      </c>
      <c r="I743" s="5" t="s">
        <v>65</v>
      </c>
      <c r="J743" s="5" t="s">
        <v>3387</v>
      </c>
      <c r="K743" s="5" t="s">
        <v>3393</v>
      </c>
      <c r="L743" s="5" t="s">
        <v>22</v>
      </c>
      <c r="M743" s="5" t="s">
        <v>3447</v>
      </c>
      <c r="N743" s="5" t="s">
        <v>2669</v>
      </c>
      <c r="O743" s="5" t="s">
        <v>316</v>
      </c>
      <c r="P743" s="5" t="s">
        <v>26</v>
      </c>
      <c r="Q743" s="5" t="s">
        <v>317</v>
      </c>
      <c r="R743" s="5">
        <v>2043</v>
      </c>
      <c r="S743" s="5">
        <v>42.257804105925402</v>
      </c>
      <c r="T743" s="5">
        <v>-70.911907439999993</v>
      </c>
    </row>
    <row r="744" spans="1:20" x14ac:dyDescent="0.3">
      <c r="A744" s="5" t="s">
        <v>2670</v>
      </c>
      <c r="B744" s="6">
        <v>28982</v>
      </c>
      <c r="C744" s="6" t="str">
        <f t="shared" si="214"/>
        <v>Active/Unavailable</v>
      </c>
      <c r="D744" s="5" t="s">
        <v>18</v>
      </c>
      <c r="E744" s="5" t="s">
        <v>2671</v>
      </c>
      <c r="F744" s="5" t="s">
        <v>993</v>
      </c>
      <c r="G744" s="5" t="s">
        <v>2248</v>
      </c>
      <c r="H744" s="5" t="s">
        <v>116</v>
      </c>
      <c r="I744" s="5" t="s">
        <v>22</v>
      </c>
      <c r="J744" s="5" t="s">
        <v>3387</v>
      </c>
      <c r="K744" s="5" t="s">
        <v>3393</v>
      </c>
      <c r="L744" s="5" t="s">
        <v>23</v>
      </c>
      <c r="M744" s="5" t="s">
        <v>3459</v>
      </c>
      <c r="N744" s="5" t="s">
        <v>2672</v>
      </c>
      <c r="O744" s="5" t="s">
        <v>33</v>
      </c>
      <c r="P744" s="5" t="s">
        <v>26</v>
      </c>
      <c r="Q744" s="5" t="s">
        <v>34</v>
      </c>
      <c r="R744" s="5">
        <v>2127</v>
      </c>
      <c r="S744" s="5">
        <v>42.341018320310098</v>
      </c>
      <c r="T744" s="5">
        <v>-71.029929550000006</v>
      </c>
    </row>
    <row r="745" spans="1:20" x14ac:dyDescent="0.3">
      <c r="A745" s="5" t="s">
        <v>2673</v>
      </c>
      <c r="B745" s="6">
        <v>12949</v>
      </c>
      <c r="C745" s="6" t="str">
        <f t="shared" si="214"/>
        <v>Active/Unavailable</v>
      </c>
      <c r="D745" s="5" t="s">
        <v>29</v>
      </c>
      <c r="E745" s="5" t="s">
        <v>2674</v>
      </c>
      <c r="F745" s="5" t="s">
        <v>1238</v>
      </c>
      <c r="G745" s="5" t="str">
        <f t="shared" ref="G745:G776" si="215">"Not Available"</f>
        <v>Not Available</v>
      </c>
      <c r="H745" s="5" t="str">
        <f>"Not Available"</f>
        <v>Not Available</v>
      </c>
      <c r="I745" s="5" t="s">
        <v>22</v>
      </c>
      <c r="J745" s="5" t="s">
        <v>3387</v>
      </c>
      <c r="K745" s="5" t="s">
        <v>3393</v>
      </c>
      <c r="L745" s="5" t="s">
        <v>22</v>
      </c>
      <c r="M745" s="5" t="s">
        <v>3510</v>
      </c>
      <c r="N745" s="5" t="s">
        <v>2675</v>
      </c>
      <c r="O745" s="5" t="s">
        <v>209</v>
      </c>
      <c r="P745" s="5" t="s">
        <v>26</v>
      </c>
      <c r="Q745" s="5" t="s">
        <v>27</v>
      </c>
      <c r="R745" s="5">
        <v>2189</v>
      </c>
      <c r="S745" s="5">
        <v>42.274011291098901</v>
      </c>
      <c r="T745" s="5">
        <v>-70.89680362</v>
      </c>
    </row>
    <row r="746" spans="1:20" x14ac:dyDescent="0.3">
      <c r="A746" s="5" t="s">
        <v>2676</v>
      </c>
      <c r="B746" s="6">
        <v>18803</v>
      </c>
      <c r="C746" s="6" t="str">
        <f t="shared" si="214"/>
        <v>Active/Unavailable</v>
      </c>
      <c r="D746" s="5" t="s">
        <v>18</v>
      </c>
      <c r="E746" s="5" t="s">
        <v>2677</v>
      </c>
      <c r="F746" s="5" t="s">
        <v>1161</v>
      </c>
      <c r="G746" s="5" t="str">
        <f t="shared" si="215"/>
        <v>Not Available</v>
      </c>
      <c r="H746" s="5" t="s">
        <v>2678</v>
      </c>
      <c r="I746" s="5" t="s">
        <v>22</v>
      </c>
      <c r="J746" s="5" t="s">
        <v>3387</v>
      </c>
      <c r="K746" s="5" t="s">
        <v>3393</v>
      </c>
      <c r="L746" s="5" t="s">
        <v>23</v>
      </c>
      <c r="M746" s="5" t="s">
        <v>3496</v>
      </c>
      <c r="N746" s="5" t="s">
        <v>3709</v>
      </c>
      <c r="O746" s="5" t="s">
        <v>2679</v>
      </c>
      <c r="P746" s="5" t="s">
        <v>26</v>
      </c>
      <c r="Q746" s="5" t="s">
        <v>57</v>
      </c>
      <c r="R746" s="5">
        <v>2453</v>
      </c>
      <c r="S746" s="5">
        <v>42.324667196696403</v>
      </c>
      <c r="T746" s="5">
        <v>-71.139385020000006</v>
      </c>
    </row>
    <row r="747" spans="1:20" x14ac:dyDescent="0.3">
      <c r="A747" s="5" t="s">
        <v>2680</v>
      </c>
      <c r="B747" s="6">
        <v>8779</v>
      </c>
      <c r="C747" s="6" t="str">
        <f t="shared" si="214"/>
        <v>Active/Unavailable</v>
      </c>
      <c r="D747" s="5" t="s">
        <v>18</v>
      </c>
      <c r="E747" s="5" t="s">
        <v>2681</v>
      </c>
      <c r="F747" s="5" t="s">
        <v>379</v>
      </c>
      <c r="G747" s="5" t="str">
        <f t="shared" si="215"/>
        <v>Not Available</v>
      </c>
      <c r="H747" s="5" t="s">
        <v>170</v>
      </c>
      <c r="I747" s="5" t="s">
        <v>22</v>
      </c>
      <c r="J747" s="5" t="s">
        <v>3387</v>
      </c>
      <c r="K747" s="5" t="s">
        <v>3393</v>
      </c>
      <c r="L747" s="5" t="s">
        <v>23</v>
      </c>
      <c r="M747" s="5" t="s">
        <v>3435</v>
      </c>
      <c r="N747" s="5" t="s">
        <v>2682</v>
      </c>
      <c r="O747" s="5" t="s">
        <v>25</v>
      </c>
      <c r="P747" s="5" t="s">
        <v>26</v>
      </c>
      <c r="Q747" s="5" t="s">
        <v>27</v>
      </c>
      <c r="R747" s="5">
        <v>2186</v>
      </c>
      <c r="S747" s="5">
        <v>42.292913464804798</v>
      </c>
      <c r="T747" s="5">
        <v>-71.022331370000003</v>
      </c>
    </row>
    <row r="748" spans="1:20" x14ac:dyDescent="0.3">
      <c r="A748" s="5" t="s">
        <v>2683</v>
      </c>
      <c r="B748" s="6">
        <v>27534</v>
      </c>
      <c r="C748" s="6" t="str">
        <f t="shared" si="214"/>
        <v>Active/Unavailable</v>
      </c>
      <c r="D748" s="5" t="s">
        <v>29</v>
      </c>
      <c r="E748" s="5" t="s">
        <v>2055</v>
      </c>
      <c r="F748" s="5" t="s">
        <v>1593</v>
      </c>
      <c r="G748" s="5" t="str">
        <f t="shared" si="215"/>
        <v>Not Available</v>
      </c>
      <c r="H748" s="5" t="str">
        <f>"Not Available"</f>
        <v>Not Available</v>
      </c>
      <c r="I748" s="5" t="s">
        <v>22</v>
      </c>
      <c r="J748" s="5" t="s">
        <v>3389</v>
      </c>
      <c r="K748" s="5" t="s">
        <v>3393</v>
      </c>
      <c r="L748" s="5" t="s">
        <v>22</v>
      </c>
      <c r="M748" s="5" t="s">
        <v>3412</v>
      </c>
      <c r="N748" s="5" t="s">
        <v>2684</v>
      </c>
      <c r="O748" s="5" t="s">
        <v>807</v>
      </c>
      <c r="P748" s="5" t="s">
        <v>26</v>
      </c>
      <c r="Q748" s="5" t="s">
        <v>317</v>
      </c>
      <c r="R748" s="5">
        <v>2066</v>
      </c>
      <c r="S748" s="5">
        <v>42.249389231252401</v>
      </c>
      <c r="T748" s="5">
        <v>-70.748387359999995</v>
      </c>
    </row>
    <row r="749" spans="1:20" x14ac:dyDescent="0.3">
      <c r="A749" s="5" t="s">
        <v>2685</v>
      </c>
      <c r="B749" s="6">
        <v>16500</v>
      </c>
      <c r="C749" s="6" t="str">
        <f t="shared" si="214"/>
        <v>Active/Unavailable</v>
      </c>
      <c r="D749" s="5" t="s">
        <v>18</v>
      </c>
      <c r="E749" s="5" t="s">
        <v>2686</v>
      </c>
      <c r="F749" s="5" t="s">
        <v>3378</v>
      </c>
      <c r="G749" s="5" t="str">
        <f t="shared" si="215"/>
        <v>Not Available</v>
      </c>
      <c r="H749" s="5" t="s">
        <v>2687</v>
      </c>
      <c r="I749" s="5" t="s">
        <v>22</v>
      </c>
      <c r="J749" s="5" t="s">
        <v>3387</v>
      </c>
      <c r="K749" s="5" t="s">
        <v>3394</v>
      </c>
      <c r="L749" s="5" t="s">
        <v>23</v>
      </c>
      <c r="M749" s="5" t="s">
        <v>3537</v>
      </c>
      <c r="N749" s="5" t="s">
        <v>2688</v>
      </c>
      <c r="O749" s="5" t="s">
        <v>33</v>
      </c>
      <c r="P749" s="5" t="s">
        <v>26</v>
      </c>
      <c r="Q749" s="5" t="s">
        <v>34</v>
      </c>
      <c r="R749" s="5">
        <v>2116</v>
      </c>
      <c r="S749" s="5">
        <v>42.364267912666001</v>
      </c>
      <c r="T749" s="5">
        <v>-71.073310379999995</v>
      </c>
    </row>
    <row r="750" spans="1:20" x14ac:dyDescent="0.3">
      <c r="A750" s="5" t="s">
        <v>2689</v>
      </c>
      <c r="B750" s="6">
        <v>33359</v>
      </c>
      <c r="C750" s="6" t="str">
        <f t="shared" si="214"/>
        <v>Active/Unavailable</v>
      </c>
      <c r="D750" s="5" t="s">
        <v>18</v>
      </c>
      <c r="E750" s="5" t="s">
        <v>968</v>
      </c>
      <c r="F750" s="5" t="s">
        <v>3360</v>
      </c>
      <c r="G750" s="5" t="str">
        <f t="shared" si="215"/>
        <v>Not Available</v>
      </c>
      <c r="H750" s="5" t="s">
        <v>1343</v>
      </c>
      <c r="I750" s="5" t="s">
        <v>22</v>
      </c>
      <c r="J750" s="5" t="s">
        <v>3387</v>
      </c>
      <c r="K750" s="5" t="s">
        <v>3394</v>
      </c>
      <c r="L750" s="5" t="s">
        <v>23</v>
      </c>
      <c r="M750" s="5" t="s">
        <v>3589</v>
      </c>
      <c r="N750" s="5" t="s">
        <v>2690</v>
      </c>
      <c r="O750" s="5" t="s">
        <v>33</v>
      </c>
      <c r="P750" s="5" t="s">
        <v>26</v>
      </c>
      <c r="Q750" s="5" t="s">
        <v>34</v>
      </c>
      <c r="R750" s="5">
        <v>2152</v>
      </c>
      <c r="S750" s="5">
        <v>42.3260013441555</v>
      </c>
      <c r="T750" s="5">
        <v>-71.007840279999996</v>
      </c>
    </row>
    <row r="751" spans="1:20" x14ac:dyDescent="0.3">
      <c r="A751" s="5" t="s">
        <v>2691</v>
      </c>
      <c r="B751" s="6">
        <v>28886</v>
      </c>
      <c r="C751" s="6" t="str">
        <f t="shared" si="214"/>
        <v>Active/Unavailable</v>
      </c>
      <c r="D751" s="5" t="s">
        <v>100</v>
      </c>
      <c r="E751" s="5" t="s">
        <v>2692</v>
      </c>
      <c r="F751" s="5" t="s">
        <v>133</v>
      </c>
      <c r="G751" s="5" t="str">
        <f t="shared" si="215"/>
        <v>Not Available</v>
      </c>
      <c r="H751" s="5" t="str">
        <f t="shared" ref="H751:H756" si="216">"Not Available"</f>
        <v>Not Available</v>
      </c>
      <c r="I751" s="5" t="s">
        <v>65</v>
      </c>
      <c r="J751" s="5" t="s">
        <v>3387</v>
      </c>
      <c r="K751" s="5" t="s">
        <v>3393</v>
      </c>
      <c r="L751" s="5" t="s">
        <v>23</v>
      </c>
      <c r="M751" s="5" t="s">
        <v>3447</v>
      </c>
      <c r="N751" s="5" t="s">
        <v>2693</v>
      </c>
      <c r="O751" s="5" t="s">
        <v>33</v>
      </c>
      <c r="P751" s="5" t="s">
        <v>26</v>
      </c>
      <c r="Q751" s="5" t="s">
        <v>34</v>
      </c>
      <c r="R751" s="5">
        <v>2128</v>
      </c>
      <c r="S751" s="5">
        <v>42.357461919999999</v>
      </c>
      <c r="T751" s="5">
        <v>-71.019947569999999</v>
      </c>
    </row>
    <row r="752" spans="1:20" x14ac:dyDescent="0.3">
      <c r="A752" s="5" t="s">
        <v>2694</v>
      </c>
      <c r="B752" s="6">
        <v>29867</v>
      </c>
      <c r="C752" s="6" t="str">
        <f t="shared" si="214"/>
        <v>Active/Unavailable</v>
      </c>
      <c r="D752" s="5" t="s">
        <v>29</v>
      </c>
      <c r="E752" s="5" t="s">
        <v>2695</v>
      </c>
      <c r="F752" s="5" t="s">
        <v>193</v>
      </c>
      <c r="G752" s="5" t="str">
        <f t="shared" si="215"/>
        <v>Not Available</v>
      </c>
      <c r="H752" s="5" t="str">
        <f t="shared" si="216"/>
        <v>Not Available</v>
      </c>
      <c r="I752" s="5" t="s">
        <v>22</v>
      </c>
      <c r="J752" s="5" t="s">
        <v>3389</v>
      </c>
      <c r="K752" s="5" t="s">
        <v>3393</v>
      </c>
      <c r="L752" s="5" t="s">
        <v>22</v>
      </c>
      <c r="M752" s="5" t="s">
        <v>3435</v>
      </c>
      <c r="N752" s="5" t="s">
        <v>2696</v>
      </c>
      <c r="O752" s="5" t="s">
        <v>33</v>
      </c>
      <c r="P752" s="5" t="s">
        <v>26</v>
      </c>
      <c r="Q752" s="5" t="s">
        <v>34</v>
      </c>
      <c r="R752" s="5">
        <v>2120</v>
      </c>
      <c r="S752" s="5">
        <v>42.3619876996896</v>
      </c>
      <c r="T752" s="5">
        <v>-71.041809900000004</v>
      </c>
    </row>
    <row r="753" spans="1:20" x14ac:dyDescent="0.3">
      <c r="A753" s="5" t="s">
        <v>2697</v>
      </c>
      <c r="B753" s="6">
        <v>9767</v>
      </c>
      <c r="C753" s="6" t="str">
        <f t="shared" si="214"/>
        <v>Active/Unavailable</v>
      </c>
      <c r="D753" s="5" t="s">
        <v>29</v>
      </c>
      <c r="E753" s="5" t="s">
        <v>2698</v>
      </c>
      <c r="F753" s="5" t="s">
        <v>2699</v>
      </c>
      <c r="G753" s="5" t="str">
        <f t="shared" si="215"/>
        <v>Not Available</v>
      </c>
      <c r="H753" s="5" t="str">
        <f t="shared" si="216"/>
        <v>Not Available</v>
      </c>
      <c r="I753" s="5" t="s">
        <v>22</v>
      </c>
      <c r="J753" s="5" t="s">
        <v>3389</v>
      </c>
      <c r="K753" s="5" t="s">
        <v>3393</v>
      </c>
      <c r="L753" s="5" t="s">
        <v>22</v>
      </c>
      <c r="M753" s="5" t="s">
        <v>3584</v>
      </c>
      <c r="N753" s="5" t="s">
        <v>2700</v>
      </c>
      <c r="O753" s="5" t="s">
        <v>33</v>
      </c>
      <c r="P753" s="5" t="s">
        <v>26</v>
      </c>
      <c r="Q753" s="5" t="s">
        <v>34</v>
      </c>
      <c r="R753" s="5">
        <v>2122</v>
      </c>
      <c r="S753" s="5">
        <v>42.293096910000003</v>
      </c>
      <c r="T753" s="5">
        <v>-71.046718819999995</v>
      </c>
    </row>
    <row r="754" spans="1:20" x14ac:dyDescent="0.3">
      <c r="A754" s="5" t="s">
        <v>2701</v>
      </c>
      <c r="B754" s="6">
        <v>23854</v>
      </c>
      <c r="C754" s="6" t="str">
        <f t="shared" si="214"/>
        <v>Active/Unavailable</v>
      </c>
      <c r="D754" s="5" t="s">
        <v>29</v>
      </c>
      <c r="E754" s="5" t="s">
        <v>2702</v>
      </c>
      <c r="F754" s="5" t="s">
        <v>3361</v>
      </c>
      <c r="G754" s="5" t="str">
        <f t="shared" si="215"/>
        <v>Not Available</v>
      </c>
      <c r="H754" s="5" t="str">
        <f t="shared" si="216"/>
        <v>Not Available</v>
      </c>
      <c r="I754" s="5" t="s">
        <v>22</v>
      </c>
      <c r="J754" s="5" t="s">
        <v>3391</v>
      </c>
      <c r="K754" s="5" t="s">
        <v>3393</v>
      </c>
      <c r="L754" s="5" t="s">
        <v>22</v>
      </c>
      <c r="M754" s="5" t="s">
        <v>3395</v>
      </c>
      <c r="N754" s="5" t="s">
        <v>2703</v>
      </c>
      <c r="O754" s="5" t="s">
        <v>33</v>
      </c>
      <c r="P754" s="5" t="s">
        <v>26</v>
      </c>
      <c r="Q754" s="5" t="s">
        <v>34</v>
      </c>
      <c r="R754" s="5">
        <v>2111</v>
      </c>
      <c r="S754" s="5">
        <v>42.339605147593403</v>
      </c>
      <c r="T754" s="5">
        <v>-71.070128269999998</v>
      </c>
    </row>
    <row r="755" spans="1:20" x14ac:dyDescent="0.3">
      <c r="A755" s="5" t="s">
        <v>2704</v>
      </c>
      <c r="B755" s="6">
        <v>11939</v>
      </c>
      <c r="C755" s="6" t="str">
        <f t="shared" si="214"/>
        <v>Active/Unavailable</v>
      </c>
      <c r="D755" s="5" t="s">
        <v>100</v>
      </c>
      <c r="E755" s="5" t="s">
        <v>2705</v>
      </c>
      <c r="F755" s="5" t="s">
        <v>668</v>
      </c>
      <c r="G755" s="5" t="str">
        <f t="shared" si="215"/>
        <v>Not Available</v>
      </c>
      <c r="H755" s="5" t="str">
        <f t="shared" si="216"/>
        <v>Not Available</v>
      </c>
      <c r="I755" s="5" t="s">
        <v>65</v>
      </c>
      <c r="J755" s="5" t="s">
        <v>3387</v>
      </c>
      <c r="K755" s="5" t="s">
        <v>3393</v>
      </c>
      <c r="L755" s="5" t="s">
        <v>23</v>
      </c>
      <c r="M755" s="5" t="s">
        <v>3512</v>
      </c>
      <c r="N755" s="5" t="s">
        <v>2706</v>
      </c>
      <c r="O755" s="5" t="s">
        <v>33</v>
      </c>
      <c r="P755" s="5" t="s">
        <v>26</v>
      </c>
      <c r="Q755" s="5" t="s">
        <v>34</v>
      </c>
      <c r="R755" s="5">
        <v>2135</v>
      </c>
      <c r="S755" s="5">
        <v>42.339864342181997</v>
      </c>
      <c r="T755" s="5">
        <v>-71.04037366</v>
      </c>
    </row>
    <row r="756" spans="1:20" x14ac:dyDescent="0.3">
      <c r="A756" s="5" t="s">
        <v>2707</v>
      </c>
      <c r="B756" s="6">
        <v>9974</v>
      </c>
      <c r="C756" s="6">
        <v>40885</v>
      </c>
      <c r="D756" s="5" t="s">
        <v>29</v>
      </c>
      <c r="E756" s="5" t="s">
        <v>2708</v>
      </c>
      <c r="F756" s="5" t="s">
        <v>2557</v>
      </c>
      <c r="G756" s="5" t="str">
        <f t="shared" si="215"/>
        <v>Not Available</v>
      </c>
      <c r="H756" s="5" t="str">
        <f t="shared" si="216"/>
        <v>Not Available</v>
      </c>
      <c r="I756" s="5" t="s">
        <v>65</v>
      </c>
      <c r="J756" s="5" t="s">
        <v>3389</v>
      </c>
      <c r="K756" s="5" t="s">
        <v>3393</v>
      </c>
      <c r="L756" s="5" t="s">
        <v>22</v>
      </c>
      <c r="M756" s="5" t="s">
        <v>3610</v>
      </c>
      <c r="N756" s="5" t="s">
        <v>2709</v>
      </c>
      <c r="O756" s="5" t="s">
        <v>33</v>
      </c>
      <c r="P756" s="5" t="s">
        <v>26</v>
      </c>
      <c r="Q756" s="5" t="s">
        <v>34</v>
      </c>
      <c r="R756" s="5">
        <v>2132</v>
      </c>
      <c r="S756" s="5">
        <v>42.336748629568199</v>
      </c>
      <c r="T756" s="5">
        <v>-70.995189249999996</v>
      </c>
    </row>
    <row r="757" spans="1:20" x14ac:dyDescent="0.3">
      <c r="A757" s="5" t="s">
        <v>2710</v>
      </c>
      <c r="B757" s="6">
        <v>19008</v>
      </c>
      <c r="C757" s="6" t="str">
        <f>"Active/Unavailable"</f>
        <v>Active/Unavailable</v>
      </c>
      <c r="D757" s="5" t="s">
        <v>18</v>
      </c>
      <c r="E757" s="5" t="s">
        <v>2711</v>
      </c>
      <c r="F757" s="5" t="s">
        <v>216</v>
      </c>
      <c r="G757" s="5" t="str">
        <f t="shared" si="215"/>
        <v>Not Available</v>
      </c>
      <c r="H757" s="5" t="s">
        <v>979</v>
      </c>
      <c r="I757" s="5" t="s">
        <v>22</v>
      </c>
      <c r="J757" s="5" t="s">
        <v>3387</v>
      </c>
      <c r="K757" s="5" t="s">
        <v>3393</v>
      </c>
      <c r="L757" s="5" t="s">
        <v>23</v>
      </c>
      <c r="M757" s="5" t="s">
        <v>3442</v>
      </c>
      <c r="N757" s="5" t="s">
        <v>2712</v>
      </c>
      <c r="O757" s="5" t="s">
        <v>25</v>
      </c>
      <c r="P757" s="5" t="s">
        <v>26</v>
      </c>
      <c r="Q757" s="5" t="s">
        <v>27</v>
      </c>
      <c r="R757" s="5">
        <v>2169</v>
      </c>
      <c r="S757" s="5">
        <v>42.314265348285701</v>
      </c>
      <c r="T757" s="5">
        <v>-71.007658289999995</v>
      </c>
    </row>
    <row r="758" spans="1:20" x14ac:dyDescent="0.3">
      <c r="A758" s="5" t="s">
        <v>2713</v>
      </c>
      <c r="B758" s="6">
        <v>9974</v>
      </c>
      <c r="C758" s="6">
        <v>42852</v>
      </c>
      <c r="D758" s="5" t="s">
        <v>29</v>
      </c>
      <c r="E758" s="5" t="s">
        <v>2714</v>
      </c>
      <c r="F758" s="5" t="s">
        <v>1191</v>
      </c>
      <c r="G758" s="5" t="str">
        <f t="shared" si="215"/>
        <v>Not Available</v>
      </c>
      <c r="H758" s="5" t="str">
        <f t="shared" ref="H758:H763" si="217">"Not Available"</f>
        <v>Not Available</v>
      </c>
      <c r="I758" s="5" t="s">
        <v>22</v>
      </c>
      <c r="J758" s="5" t="s">
        <v>3389</v>
      </c>
      <c r="K758" s="5" t="s">
        <v>3393</v>
      </c>
      <c r="L758" s="5" t="s">
        <v>22</v>
      </c>
      <c r="M758" s="5" t="s">
        <v>3643</v>
      </c>
      <c r="N758" s="5" t="s">
        <v>2715</v>
      </c>
      <c r="O758" s="5" t="s">
        <v>33</v>
      </c>
      <c r="P758" s="5" t="s">
        <v>26</v>
      </c>
      <c r="Q758" s="5" t="s">
        <v>34</v>
      </c>
      <c r="R758" s="5" t="str">
        <f>"0000"</f>
        <v>0000</v>
      </c>
      <c r="S758" s="5">
        <v>42.382688255702298</v>
      </c>
      <c r="T758" s="5">
        <v>-71.087942749999996</v>
      </c>
    </row>
    <row r="759" spans="1:20" x14ac:dyDescent="0.3">
      <c r="A759" s="5" t="s">
        <v>2716</v>
      </c>
      <c r="B759" s="6">
        <v>23490</v>
      </c>
      <c r="C759" s="6" t="str">
        <f>"Active/Unavailable"</f>
        <v>Active/Unavailable</v>
      </c>
      <c r="D759" s="5" t="s">
        <v>29</v>
      </c>
      <c r="E759" s="5" t="s">
        <v>2717</v>
      </c>
      <c r="F759" s="5" t="s">
        <v>647</v>
      </c>
      <c r="G759" s="5" t="str">
        <f t="shared" si="215"/>
        <v>Not Available</v>
      </c>
      <c r="H759" s="5" t="str">
        <f t="shared" si="217"/>
        <v>Not Available</v>
      </c>
      <c r="I759" s="5" t="s">
        <v>22</v>
      </c>
      <c r="J759" s="5" t="s">
        <v>3388</v>
      </c>
      <c r="K759" s="5" t="s">
        <v>3393</v>
      </c>
      <c r="L759" s="5" t="s">
        <v>22</v>
      </c>
      <c r="M759" s="5" t="s">
        <v>3529</v>
      </c>
      <c r="N759" s="5" t="s">
        <v>2718</v>
      </c>
      <c r="O759" s="5" t="s">
        <v>33</v>
      </c>
      <c r="P759" s="5" t="s">
        <v>26</v>
      </c>
      <c r="Q759" s="5" t="s">
        <v>34</v>
      </c>
      <c r="R759" s="5">
        <v>2113</v>
      </c>
      <c r="S759" s="5">
        <v>42.362194339674403</v>
      </c>
      <c r="T759" s="5">
        <v>-71.062202009999993</v>
      </c>
    </row>
    <row r="760" spans="1:20" x14ac:dyDescent="0.3">
      <c r="A760" s="5" t="s">
        <v>2719</v>
      </c>
      <c r="B760" s="6">
        <v>9974</v>
      </c>
      <c r="C760" s="6">
        <v>40736</v>
      </c>
      <c r="D760" s="5" t="s">
        <v>29</v>
      </c>
      <c r="E760" s="5" t="s">
        <v>2720</v>
      </c>
      <c r="F760" s="5" t="s">
        <v>3360</v>
      </c>
      <c r="G760" s="5" t="str">
        <f t="shared" si="215"/>
        <v>Not Available</v>
      </c>
      <c r="H760" s="5" t="str">
        <f t="shared" si="217"/>
        <v>Not Available</v>
      </c>
      <c r="I760" s="5" t="s">
        <v>22</v>
      </c>
      <c r="J760" s="5" t="s">
        <v>3389</v>
      </c>
      <c r="K760" s="5" t="s">
        <v>3393</v>
      </c>
      <c r="L760" s="5" t="s">
        <v>22</v>
      </c>
      <c r="M760" s="5" t="s">
        <v>3444</v>
      </c>
      <c r="N760" s="5" t="s">
        <v>2721</v>
      </c>
      <c r="O760" s="5" t="s">
        <v>33</v>
      </c>
      <c r="P760" s="5" t="s">
        <v>26</v>
      </c>
      <c r="Q760" s="5" t="s">
        <v>34</v>
      </c>
      <c r="R760" s="5">
        <v>2210</v>
      </c>
      <c r="S760" s="5">
        <v>42.3574756501026</v>
      </c>
      <c r="T760" s="5">
        <v>-71.042961169999998</v>
      </c>
    </row>
    <row r="761" spans="1:20" x14ac:dyDescent="0.3">
      <c r="A761" s="5" t="s">
        <v>2722</v>
      </c>
      <c r="B761" s="6">
        <v>9974</v>
      </c>
      <c r="C761" s="6">
        <v>43007</v>
      </c>
      <c r="D761" s="5" t="s">
        <v>29</v>
      </c>
      <c r="E761" s="5" t="s">
        <v>2723</v>
      </c>
      <c r="F761" s="5" t="s">
        <v>41</v>
      </c>
      <c r="G761" s="5" t="str">
        <f t="shared" si="215"/>
        <v>Not Available</v>
      </c>
      <c r="H761" s="5" t="str">
        <f t="shared" si="217"/>
        <v>Not Available</v>
      </c>
      <c r="I761" s="5" t="s">
        <v>22</v>
      </c>
      <c r="J761" s="5" t="s">
        <v>3389</v>
      </c>
      <c r="K761" s="5" t="s">
        <v>3393</v>
      </c>
      <c r="L761" s="5" t="s">
        <v>22</v>
      </c>
      <c r="M761" s="5" t="s">
        <v>3525</v>
      </c>
      <c r="N761" s="5" t="s">
        <v>2724</v>
      </c>
      <c r="O761" s="5" t="s">
        <v>33</v>
      </c>
      <c r="P761" s="5" t="s">
        <v>26</v>
      </c>
      <c r="Q761" s="5" t="s">
        <v>34</v>
      </c>
      <c r="R761" s="5">
        <v>2134</v>
      </c>
      <c r="S761" s="5">
        <v>42.304182845973003</v>
      </c>
      <c r="T761" s="5">
        <v>-71.065383170000004</v>
      </c>
    </row>
    <row r="762" spans="1:20" x14ac:dyDescent="0.3">
      <c r="A762" s="5" t="s">
        <v>2725</v>
      </c>
      <c r="B762" s="6">
        <v>26596</v>
      </c>
      <c r="C762" s="6" t="str">
        <f t="shared" ref="C762:C764" si="218">"Active/Unavailable"</f>
        <v>Active/Unavailable</v>
      </c>
      <c r="D762" s="5" t="s">
        <v>29</v>
      </c>
      <c r="E762" s="5" t="s">
        <v>2726</v>
      </c>
      <c r="F762" s="5" t="s">
        <v>2727</v>
      </c>
      <c r="G762" s="5" t="str">
        <f t="shared" si="215"/>
        <v>Not Available</v>
      </c>
      <c r="H762" s="5" t="str">
        <f t="shared" si="217"/>
        <v>Not Available</v>
      </c>
      <c r="I762" s="5" t="s">
        <v>22</v>
      </c>
      <c r="J762" s="5" t="s">
        <v>3387</v>
      </c>
      <c r="K762" s="5" t="s">
        <v>3393</v>
      </c>
      <c r="L762" s="5" t="s">
        <v>22</v>
      </c>
      <c r="M762" s="5" t="s">
        <v>3576</v>
      </c>
      <c r="N762" s="5" t="s">
        <v>2728</v>
      </c>
      <c r="O762" s="5" t="s">
        <v>56</v>
      </c>
      <c r="P762" s="5" t="s">
        <v>26</v>
      </c>
      <c r="Q762" s="5" t="s">
        <v>57</v>
      </c>
      <c r="R762" s="5" t="str">
        <f t="shared" ref="R762:R764" si="219">"0000"</f>
        <v>0000</v>
      </c>
      <c r="S762" s="5">
        <v>42.347423432311899</v>
      </c>
      <c r="T762" s="5">
        <v>-71.069513839999999</v>
      </c>
    </row>
    <row r="763" spans="1:20" x14ac:dyDescent="0.3">
      <c r="A763" s="5" t="s">
        <v>2729</v>
      </c>
      <c r="B763" s="6">
        <v>13241</v>
      </c>
      <c r="C763" s="6" t="str">
        <f t="shared" si="218"/>
        <v>Active/Unavailable</v>
      </c>
      <c r="D763" s="5" t="s">
        <v>29</v>
      </c>
      <c r="E763" s="5" t="s">
        <v>2730</v>
      </c>
      <c r="F763" s="5" t="s">
        <v>149</v>
      </c>
      <c r="G763" s="5" t="str">
        <f t="shared" si="215"/>
        <v>Not Available</v>
      </c>
      <c r="H763" s="5" t="str">
        <f t="shared" si="217"/>
        <v>Not Available</v>
      </c>
      <c r="I763" s="5" t="s">
        <v>22</v>
      </c>
      <c r="J763" s="5" t="s">
        <v>3388</v>
      </c>
      <c r="K763" s="5" t="s">
        <v>3393</v>
      </c>
      <c r="L763" s="5" t="s">
        <v>22</v>
      </c>
      <c r="M763" s="5" t="s">
        <v>3663</v>
      </c>
      <c r="N763" s="5" t="s">
        <v>2731</v>
      </c>
      <c r="O763" s="5" t="s">
        <v>108</v>
      </c>
      <c r="P763" s="5" t="s">
        <v>26</v>
      </c>
      <c r="Q763" s="5" t="s">
        <v>34</v>
      </c>
      <c r="R763" s="5" t="str">
        <f t="shared" si="219"/>
        <v>0000</v>
      </c>
      <c r="S763" s="5">
        <v>42.370826576785497</v>
      </c>
      <c r="T763" s="5">
        <v>-70.953478259999997</v>
      </c>
    </row>
    <row r="764" spans="1:20" x14ac:dyDescent="0.3">
      <c r="A764" s="5" t="s">
        <v>2732</v>
      </c>
      <c r="B764" s="6">
        <v>25248</v>
      </c>
      <c r="C764" s="6" t="str">
        <f t="shared" si="218"/>
        <v>Active/Unavailable</v>
      </c>
      <c r="D764" s="5" t="s">
        <v>18</v>
      </c>
      <c r="E764" s="5" t="s">
        <v>1779</v>
      </c>
      <c r="F764" s="5" t="s">
        <v>1761</v>
      </c>
      <c r="G764" s="5" t="str">
        <f t="shared" si="215"/>
        <v>Not Available</v>
      </c>
      <c r="H764" s="5" t="s">
        <v>2137</v>
      </c>
      <c r="I764" s="5" t="s">
        <v>22</v>
      </c>
      <c r="J764" s="5" t="s">
        <v>3387</v>
      </c>
      <c r="K764" s="5" t="s">
        <v>3394</v>
      </c>
      <c r="L764" s="5" t="s">
        <v>23</v>
      </c>
      <c r="M764" s="5" t="s">
        <v>3482</v>
      </c>
      <c r="N764" s="5" t="s">
        <v>2733</v>
      </c>
      <c r="O764" s="5" t="s">
        <v>56</v>
      </c>
      <c r="P764" s="5" t="s">
        <v>26</v>
      </c>
      <c r="Q764" s="5" t="s">
        <v>57</v>
      </c>
      <c r="R764" s="5" t="str">
        <f t="shared" si="219"/>
        <v>0000</v>
      </c>
      <c r="S764" s="5">
        <v>42.347805805073797</v>
      </c>
      <c r="T764" s="5">
        <v>-71.134874190000005</v>
      </c>
    </row>
    <row r="765" spans="1:20" x14ac:dyDescent="0.3">
      <c r="A765" s="5" t="s">
        <v>2734</v>
      </c>
      <c r="B765" s="6">
        <v>13161</v>
      </c>
      <c r="C765" s="6">
        <v>42646</v>
      </c>
      <c r="D765" s="5" t="s">
        <v>29</v>
      </c>
      <c r="E765" s="5" t="s">
        <v>1303</v>
      </c>
      <c r="F765" s="5" t="s">
        <v>1143</v>
      </c>
      <c r="G765" s="5" t="str">
        <f t="shared" si="215"/>
        <v>Not Available</v>
      </c>
      <c r="H765" s="5" t="str">
        <f t="shared" ref="H765:H767" si="220">"Not Available"</f>
        <v>Not Available</v>
      </c>
      <c r="I765" s="5" t="s">
        <v>22</v>
      </c>
      <c r="J765" s="5" t="s">
        <v>3389</v>
      </c>
      <c r="K765" s="5" t="s">
        <v>3393</v>
      </c>
      <c r="L765" s="5" t="s">
        <v>22</v>
      </c>
      <c r="M765" s="5" t="s">
        <v>3402</v>
      </c>
      <c r="N765" s="5" t="s">
        <v>2735</v>
      </c>
      <c r="O765" s="5" t="s">
        <v>33</v>
      </c>
      <c r="P765" s="5" t="s">
        <v>26</v>
      </c>
      <c r="Q765" s="5" t="s">
        <v>34</v>
      </c>
      <c r="R765" s="5">
        <v>2128</v>
      </c>
      <c r="S765" s="5">
        <v>42.319983734186899</v>
      </c>
      <c r="T765" s="5">
        <v>-71.127140670000003</v>
      </c>
    </row>
    <row r="766" spans="1:20" x14ac:dyDescent="0.3">
      <c r="A766" s="5" t="s">
        <v>2736</v>
      </c>
      <c r="B766" s="6">
        <v>27766</v>
      </c>
      <c r="C766" s="6" t="str">
        <f>"Active/Unavailable"</f>
        <v>Active/Unavailable</v>
      </c>
      <c r="D766" s="5" t="s">
        <v>29</v>
      </c>
      <c r="E766" s="5" t="s">
        <v>2737</v>
      </c>
      <c r="F766" s="5" t="s">
        <v>1375</v>
      </c>
      <c r="G766" s="5" t="str">
        <f t="shared" si="215"/>
        <v>Not Available</v>
      </c>
      <c r="H766" s="5" t="str">
        <f t="shared" si="220"/>
        <v>Not Available</v>
      </c>
      <c r="I766" s="5" t="s">
        <v>65</v>
      </c>
      <c r="J766" s="5" t="s">
        <v>3388</v>
      </c>
      <c r="K766" s="5" t="s">
        <v>3393</v>
      </c>
      <c r="L766" s="5" t="s">
        <v>22</v>
      </c>
      <c r="M766" s="5" t="s">
        <v>3455</v>
      </c>
      <c r="N766" s="5" t="s">
        <v>2738</v>
      </c>
      <c r="O766" s="5" t="s">
        <v>108</v>
      </c>
      <c r="P766" s="5" t="s">
        <v>26</v>
      </c>
      <c r="Q766" s="5" t="s">
        <v>34</v>
      </c>
      <c r="R766" s="5" t="str">
        <f>"0000"</f>
        <v>0000</v>
      </c>
      <c r="S766" s="5">
        <v>42.378832600042898</v>
      </c>
      <c r="T766" s="5">
        <v>-70.947005899999994</v>
      </c>
    </row>
    <row r="767" spans="1:20" x14ac:dyDescent="0.3">
      <c r="A767" s="5" t="s">
        <v>2739</v>
      </c>
      <c r="B767" s="6">
        <v>13161</v>
      </c>
      <c r="C767" s="6">
        <v>43677</v>
      </c>
      <c r="D767" s="5" t="s">
        <v>29</v>
      </c>
      <c r="E767" s="5" t="s">
        <v>2740</v>
      </c>
      <c r="F767" s="5" t="s">
        <v>2741</v>
      </c>
      <c r="G767" s="5" t="str">
        <f t="shared" si="215"/>
        <v>Not Available</v>
      </c>
      <c r="H767" s="5" t="str">
        <f t="shared" si="220"/>
        <v>Not Available</v>
      </c>
      <c r="I767" s="5" t="s">
        <v>65</v>
      </c>
      <c r="J767" s="5" t="s">
        <v>3389</v>
      </c>
      <c r="K767" s="5" t="s">
        <v>3393</v>
      </c>
      <c r="L767" s="5" t="s">
        <v>22</v>
      </c>
      <c r="M767" s="5" t="s">
        <v>3547</v>
      </c>
      <c r="N767" s="5" t="s">
        <v>2742</v>
      </c>
      <c r="O767" s="5" t="s">
        <v>33</v>
      </c>
      <c r="P767" s="5" t="s">
        <v>26</v>
      </c>
      <c r="Q767" s="5" t="s">
        <v>34</v>
      </c>
      <c r="R767" s="5">
        <v>2119</v>
      </c>
      <c r="S767" s="5">
        <v>42.366044501612002</v>
      </c>
      <c r="T767" s="5">
        <v>-71.08805418</v>
      </c>
    </row>
    <row r="768" spans="1:20" x14ac:dyDescent="0.3">
      <c r="A768" s="5" t="s">
        <v>2743</v>
      </c>
      <c r="B768" s="6">
        <v>9714</v>
      </c>
      <c r="C768" s="6">
        <v>41266</v>
      </c>
      <c r="D768" s="5" t="s">
        <v>18</v>
      </c>
      <c r="E768" s="5" t="s">
        <v>2744</v>
      </c>
      <c r="F768" s="5" t="s">
        <v>1253</v>
      </c>
      <c r="G768" s="5" t="str">
        <f t="shared" si="215"/>
        <v>Not Available</v>
      </c>
      <c r="H768" s="5" t="s">
        <v>278</v>
      </c>
      <c r="I768" s="5" t="s">
        <v>22</v>
      </c>
      <c r="J768" s="5" t="s">
        <v>3387</v>
      </c>
      <c r="K768" s="5" t="s">
        <v>3393</v>
      </c>
      <c r="L768" s="5" t="s">
        <v>23</v>
      </c>
      <c r="M768" s="5" t="s">
        <v>3431</v>
      </c>
      <c r="N768" s="5" t="s">
        <v>2745</v>
      </c>
      <c r="O768" s="5" t="s">
        <v>845</v>
      </c>
      <c r="P768" s="5" t="s">
        <v>26</v>
      </c>
      <c r="Q768" s="5" t="s">
        <v>57</v>
      </c>
      <c r="R768" s="5">
        <v>2155</v>
      </c>
      <c r="S768" s="5">
        <v>42.394682256799001</v>
      </c>
      <c r="T768" s="5">
        <v>-71.012440209999994</v>
      </c>
    </row>
    <row r="769" spans="1:20" x14ac:dyDescent="0.3">
      <c r="A769" s="5" t="s">
        <v>2746</v>
      </c>
      <c r="B769" s="6">
        <v>13161</v>
      </c>
      <c r="C769" s="6">
        <v>43731</v>
      </c>
      <c r="D769" s="5" t="s">
        <v>29</v>
      </c>
      <c r="E769" s="5" t="s">
        <v>2747</v>
      </c>
      <c r="F769" s="5" t="s">
        <v>1898</v>
      </c>
      <c r="G769" s="5" t="str">
        <f t="shared" si="215"/>
        <v>Not Available</v>
      </c>
      <c r="H769" s="5" t="str">
        <f>"Not Available"</f>
        <v>Not Available</v>
      </c>
      <c r="I769" s="5" t="s">
        <v>22</v>
      </c>
      <c r="J769" s="5" t="s">
        <v>3389</v>
      </c>
      <c r="K769" s="5" t="s">
        <v>3393</v>
      </c>
      <c r="L769" s="5" t="s">
        <v>22</v>
      </c>
      <c r="M769" s="5" t="s">
        <v>3619</v>
      </c>
      <c r="N769" s="5" t="s">
        <v>2748</v>
      </c>
      <c r="O769" s="5" t="s">
        <v>33</v>
      </c>
      <c r="P769" s="5" t="s">
        <v>26</v>
      </c>
      <c r="Q769" s="5" t="s">
        <v>34</v>
      </c>
      <c r="R769" s="5">
        <v>2151</v>
      </c>
      <c r="S769" s="5">
        <v>42.357662779592602</v>
      </c>
      <c r="T769" s="5">
        <v>-71.058785119999996</v>
      </c>
    </row>
    <row r="770" spans="1:20" x14ac:dyDescent="0.3">
      <c r="A770" s="5" t="s">
        <v>2749</v>
      </c>
      <c r="B770" s="6">
        <v>11187</v>
      </c>
      <c r="C770" s="6" t="str">
        <f>"Active/Unavailable"</f>
        <v>Active/Unavailable</v>
      </c>
      <c r="D770" s="5" t="s">
        <v>18</v>
      </c>
      <c r="E770" s="5" t="s">
        <v>2750</v>
      </c>
      <c r="F770" s="5" t="s">
        <v>305</v>
      </c>
      <c r="G770" s="5" t="str">
        <f t="shared" si="215"/>
        <v>Not Available</v>
      </c>
      <c r="H770" s="5" t="s">
        <v>1765</v>
      </c>
      <c r="I770" s="5" t="s">
        <v>22</v>
      </c>
      <c r="J770" s="5" t="s">
        <v>3387</v>
      </c>
      <c r="K770" s="5" t="s">
        <v>3393</v>
      </c>
      <c r="L770" s="5" t="s">
        <v>23</v>
      </c>
      <c r="M770" s="5" t="s">
        <v>3607</v>
      </c>
      <c r="N770" s="5" t="s">
        <v>2751</v>
      </c>
      <c r="O770" s="5" t="s">
        <v>172</v>
      </c>
      <c r="P770" s="5" t="s">
        <v>26</v>
      </c>
      <c r="Q770" s="5" t="s">
        <v>34</v>
      </c>
      <c r="R770" s="5">
        <v>2151</v>
      </c>
      <c r="S770" s="5">
        <v>42.372749240562399</v>
      </c>
      <c r="T770" s="5">
        <v>-71.000713820000001</v>
      </c>
    </row>
    <row r="771" spans="1:20" x14ac:dyDescent="0.3">
      <c r="A771" s="5" t="s">
        <v>2752</v>
      </c>
      <c r="B771" s="6">
        <v>23278</v>
      </c>
      <c r="C771" s="6">
        <v>42094</v>
      </c>
      <c r="D771" s="5" t="s">
        <v>29</v>
      </c>
      <c r="E771" s="5" t="s">
        <v>2753</v>
      </c>
      <c r="F771" s="5" t="s">
        <v>983</v>
      </c>
      <c r="G771" s="5" t="str">
        <f t="shared" si="215"/>
        <v>Not Available</v>
      </c>
      <c r="H771" s="5" t="str">
        <f t="shared" ref="H771:H774" si="221">"Not Available"</f>
        <v>Not Available</v>
      </c>
      <c r="I771" s="5" t="s">
        <v>22</v>
      </c>
      <c r="J771" s="5" t="s">
        <v>3387</v>
      </c>
      <c r="K771" s="5" t="s">
        <v>3393</v>
      </c>
      <c r="L771" s="5" t="s">
        <v>22</v>
      </c>
      <c r="M771" s="5" t="s">
        <v>3609</v>
      </c>
      <c r="N771" s="5" t="s">
        <v>2754</v>
      </c>
      <c r="O771" s="5" t="s">
        <v>209</v>
      </c>
      <c r="P771" s="5" t="s">
        <v>26</v>
      </c>
      <c r="Q771" s="5" t="s">
        <v>27</v>
      </c>
      <c r="R771" s="5">
        <v>2191</v>
      </c>
      <c r="S771" s="5">
        <v>42.233901269410303</v>
      </c>
      <c r="T771" s="5">
        <v>-70.918232990000007</v>
      </c>
    </row>
    <row r="772" spans="1:20" x14ac:dyDescent="0.3">
      <c r="A772" s="5" t="s">
        <v>2755</v>
      </c>
      <c r="B772" s="6">
        <v>19089</v>
      </c>
      <c r="C772" s="6" t="str">
        <f t="shared" ref="C772:C777" si="222">"Active/Unavailable"</f>
        <v>Active/Unavailable</v>
      </c>
      <c r="D772" s="5" t="s">
        <v>100</v>
      </c>
      <c r="E772" s="5" t="s">
        <v>2756</v>
      </c>
      <c r="F772" s="5" t="s">
        <v>1062</v>
      </c>
      <c r="G772" s="5" t="str">
        <f t="shared" si="215"/>
        <v>Not Available</v>
      </c>
      <c r="H772" s="5" t="str">
        <f t="shared" si="221"/>
        <v>Not Available</v>
      </c>
      <c r="I772" s="5" t="s">
        <v>65</v>
      </c>
      <c r="J772" s="5" t="s">
        <v>3387</v>
      </c>
      <c r="K772" s="5" t="s">
        <v>3393</v>
      </c>
      <c r="L772" s="5" t="s">
        <v>23</v>
      </c>
      <c r="M772" s="5" t="s">
        <v>3664</v>
      </c>
      <c r="N772" s="5" t="s">
        <v>2757</v>
      </c>
      <c r="O772" s="5" t="s">
        <v>33</v>
      </c>
      <c r="P772" s="5" t="s">
        <v>26</v>
      </c>
      <c r="Q772" s="5" t="s">
        <v>34</v>
      </c>
      <c r="R772" s="5">
        <v>2122</v>
      </c>
      <c r="S772" s="5">
        <v>42.330320475001599</v>
      </c>
      <c r="T772" s="5">
        <v>-71.10398352</v>
      </c>
    </row>
    <row r="773" spans="1:20" x14ac:dyDescent="0.3">
      <c r="A773" s="5" t="s">
        <v>2758</v>
      </c>
      <c r="B773" s="6">
        <v>23278</v>
      </c>
      <c r="C773" s="6" t="str">
        <f t="shared" si="222"/>
        <v>Active/Unavailable</v>
      </c>
      <c r="D773" s="5" t="s">
        <v>29</v>
      </c>
      <c r="E773" s="5" t="s">
        <v>1986</v>
      </c>
      <c r="F773" s="5" t="s">
        <v>643</v>
      </c>
      <c r="G773" s="5" t="str">
        <f t="shared" si="215"/>
        <v>Not Available</v>
      </c>
      <c r="H773" s="5" t="str">
        <f t="shared" si="221"/>
        <v>Not Available</v>
      </c>
      <c r="I773" s="5" t="s">
        <v>22</v>
      </c>
      <c r="J773" s="5" t="s">
        <v>3387</v>
      </c>
      <c r="K773" s="5" t="s">
        <v>3393</v>
      </c>
      <c r="L773" s="5" t="s">
        <v>22</v>
      </c>
      <c r="M773" s="5" t="s">
        <v>3645</v>
      </c>
      <c r="N773" s="5" t="s">
        <v>3710</v>
      </c>
      <c r="O773" s="5" t="s">
        <v>209</v>
      </c>
      <c r="P773" s="5" t="s">
        <v>26</v>
      </c>
      <c r="Q773" s="5" t="s">
        <v>27</v>
      </c>
      <c r="R773" s="5" t="str">
        <f>"0000"</f>
        <v>0000</v>
      </c>
      <c r="S773" s="5">
        <v>42.250963644838897</v>
      </c>
      <c r="T773" s="5">
        <v>-70.933812720000006</v>
      </c>
    </row>
    <row r="774" spans="1:20" x14ac:dyDescent="0.3">
      <c r="A774" s="5" t="s">
        <v>2759</v>
      </c>
      <c r="B774" s="6">
        <v>13161</v>
      </c>
      <c r="C774" s="6" t="str">
        <f t="shared" si="222"/>
        <v>Active/Unavailable</v>
      </c>
      <c r="D774" s="5" t="s">
        <v>29</v>
      </c>
      <c r="E774" s="5" t="s">
        <v>697</v>
      </c>
      <c r="F774" s="5" t="s">
        <v>1725</v>
      </c>
      <c r="G774" s="5" t="str">
        <f t="shared" si="215"/>
        <v>Not Available</v>
      </c>
      <c r="H774" s="5" t="str">
        <f t="shared" si="221"/>
        <v>Not Available</v>
      </c>
      <c r="I774" s="5" t="s">
        <v>22</v>
      </c>
      <c r="J774" s="5" t="s">
        <v>3389</v>
      </c>
      <c r="K774" s="5" t="s">
        <v>3393</v>
      </c>
      <c r="L774" s="5" t="s">
        <v>22</v>
      </c>
      <c r="M774" s="5" t="s">
        <v>3438</v>
      </c>
      <c r="N774" s="5" t="s">
        <v>2760</v>
      </c>
      <c r="O774" s="5" t="s">
        <v>33</v>
      </c>
      <c r="P774" s="5" t="s">
        <v>26</v>
      </c>
      <c r="Q774" s="5" t="s">
        <v>34</v>
      </c>
      <c r="R774" s="5">
        <v>2116</v>
      </c>
      <c r="S774" s="5">
        <v>42.347503863204899</v>
      </c>
      <c r="T774" s="5">
        <v>-71.11304183</v>
      </c>
    </row>
    <row r="775" spans="1:20" x14ac:dyDescent="0.3">
      <c r="A775" s="5" t="s">
        <v>2761</v>
      </c>
      <c r="B775" s="6">
        <v>28305</v>
      </c>
      <c r="C775" s="6" t="str">
        <f t="shared" si="222"/>
        <v>Active/Unavailable</v>
      </c>
      <c r="D775" s="5" t="s">
        <v>18</v>
      </c>
      <c r="E775" s="5" t="s">
        <v>2762</v>
      </c>
      <c r="F775" s="5" t="s">
        <v>2763</v>
      </c>
      <c r="G775" s="5" t="str">
        <f t="shared" si="215"/>
        <v>Not Available</v>
      </c>
      <c r="H775" s="5" t="s">
        <v>2764</v>
      </c>
      <c r="I775" s="5" t="s">
        <v>22</v>
      </c>
      <c r="J775" s="5" t="s">
        <v>3387</v>
      </c>
      <c r="K775" s="5" t="s">
        <v>3393</v>
      </c>
      <c r="L775" s="5" t="s">
        <v>23</v>
      </c>
      <c r="M775" s="5" t="s">
        <v>3445</v>
      </c>
      <c r="N775" s="5" t="s">
        <v>2765</v>
      </c>
      <c r="O775" s="5" t="s">
        <v>33</v>
      </c>
      <c r="P775" s="5" t="s">
        <v>26</v>
      </c>
      <c r="Q775" s="5" t="s">
        <v>34</v>
      </c>
      <c r="R775" s="5">
        <v>2163</v>
      </c>
      <c r="S775" s="5">
        <v>42.3125725023583</v>
      </c>
      <c r="T775" s="5">
        <v>-71.053280369999996</v>
      </c>
    </row>
    <row r="776" spans="1:20" x14ac:dyDescent="0.3">
      <c r="A776" s="5" t="s">
        <v>2766</v>
      </c>
      <c r="B776" s="6">
        <v>8451</v>
      </c>
      <c r="C776" s="6" t="str">
        <f t="shared" si="222"/>
        <v>Active/Unavailable</v>
      </c>
      <c r="D776" s="5" t="s">
        <v>29</v>
      </c>
      <c r="E776" s="5" t="s">
        <v>2076</v>
      </c>
      <c r="F776" s="5" t="s">
        <v>3379</v>
      </c>
      <c r="G776" s="5" t="str">
        <f t="shared" si="215"/>
        <v>Not Available</v>
      </c>
      <c r="H776" s="5" t="str">
        <f t="shared" ref="H776:H780" si="223">"Not Available"</f>
        <v>Not Available</v>
      </c>
      <c r="I776" s="5" t="s">
        <v>65</v>
      </c>
      <c r="J776" s="5" t="s">
        <v>3387</v>
      </c>
      <c r="K776" s="5" t="s">
        <v>3393</v>
      </c>
      <c r="L776" s="5" t="s">
        <v>22</v>
      </c>
      <c r="M776" s="5" t="s">
        <v>3555</v>
      </c>
      <c r="N776" s="5" t="s">
        <v>2767</v>
      </c>
      <c r="O776" s="5" t="s">
        <v>25</v>
      </c>
      <c r="P776" s="5" t="s">
        <v>26</v>
      </c>
      <c r="Q776" s="5" t="s">
        <v>27</v>
      </c>
      <c r="R776" s="5">
        <v>2186</v>
      </c>
      <c r="S776" s="5">
        <v>42.325516010871397</v>
      </c>
      <c r="T776" s="5">
        <v>-71.026812719999995</v>
      </c>
    </row>
    <row r="777" spans="1:20" x14ac:dyDescent="0.3">
      <c r="A777" s="5" t="s">
        <v>2768</v>
      </c>
      <c r="B777" s="6">
        <v>14766</v>
      </c>
      <c r="C777" s="6" t="str">
        <f t="shared" si="222"/>
        <v>Active/Unavailable</v>
      </c>
      <c r="D777" s="5" t="s">
        <v>29</v>
      </c>
      <c r="E777" s="5" t="s">
        <v>767</v>
      </c>
      <c r="F777" s="5" t="s">
        <v>2769</v>
      </c>
      <c r="G777" s="5" t="str">
        <f t="shared" ref="G777:G808" si="224">"Not Available"</f>
        <v>Not Available</v>
      </c>
      <c r="H777" s="5" t="str">
        <f t="shared" si="223"/>
        <v>Not Available</v>
      </c>
      <c r="I777" s="5" t="s">
        <v>65</v>
      </c>
      <c r="J777" s="5" t="s">
        <v>3387</v>
      </c>
      <c r="K777" s="5" t="s">
        <v>3393</v>
      </c>
      <c r="L777" s="5" t="s">
        <v>22</v>
      </c>
      <c r="M777" s="5" t="s">
        <v>3414</v>
      </c>
      <c r="N777" s="5" t="s">
        <v>2770</v>
      </c>
      <c r="O777" s="5" t="s">
        <v>56</v>
      </c>
      <c r="P777" s="5" t="s">
        <v>26</v>
      </c>
      <c r="Q777" s="5" t="s">
        <v>57</v>
      </c>
      <c r="R777" s="5">
        <v>2139</v>
      </c>
      <c r="S777" s="5">
        <v>42.3224205621473</v>
      </c>
      <c r="T777" s="5">
        <v>-71.097740599999995</v>
      </c>
    </row>
    <row r="778" spans="1:20" x14ac:dyDescent="0.3">
      <c r="A778" s="5" t="s">
        <v>2771</v>
      </c>
      <c r="B778" s="6">
        <v>15510</v>
      </c>
      <c r="C778" s="6">
        <v>42037</v>
      </c>
      <c r="D778" s="5" t="s">
        <v>29</v>
      </c>
      <c r="E778" s="5" t="s">
        <v>44</v>
      </c>
      <c r="F778" s="5" t="s">
        <v>290</v>
      </c>
      <c r="G778" s="5" t="str">
        <f t="shared" si="224"/>
        <v>Not Available</v>
      </c>
      <c r="H778" s="5" t="str">
        <f t="shared" si="223"/>
        <v>Not Available</v>
      </c>
      <c r="I778" s="5" t="s">
        <v>22</v>
      </c>
      <c r="J778" s="5" t="s">
        <v>3392</v>
      </c>
      <c r="K778" s="5" t="s">
        <v>3393</v>
      </c>
      <c r="L778" s="5" t="s">
        <v>22</v>
      </c>
      <c r="M778" s="5" t="s">
        <v>3402</v>
      </c>
      <c r="N778" s="5" t="s">
        <v>2772</v>
      </c>
      <c r="O778" s="5" t="s">
        <v>33</v>
      </c>
      <c r="P778" s="5" t="s">
        <v>26</v>
      </c>
      <c r="Q778" s="5" t="s">
        <v>34</v>
      </c>
      <c r="R778" s="5">
        <v>2134</v>
      </c>
      <c r="S778" s="5">
        <v>42.349148196894802</v>
      </c>
      <c r="T778" s="5">
        <v>-71.056151020000001</v>
      </c>
    </row>
    <row r="779" spans="1:20" x14ac:dyDescent="0.3">
      <c r="A779" s="5" t="s">
        <v>2773</v>
      </c>
      <c r="B779" s="6">
        <v>15510</v>
      </c>
      <c r="C779" s="6" t="str">
        <f>"Active/Unavailable"</f>
        <v>Active/Unavailable</v>
      </c>
      <c r="D779" s="5" t="s">
        <v>29</v>
      </c>
      <c r="E779" s="5" t="s">
        <v>1250</v>
      </c>
      <c r="F779" s="5" t="s">
        <v>683</v>
      </c>
      <c r="G779" s="5" t="str">
        <f t="shared" si="224"/>
        <v>Not Available</v>
      </c>
      <c r="H779" s="5" t="str">
        <f t="shared" si="223"/>
        <v>Not Available</v>
      </c>
      <c r="I779" s="5" t="s">
        <v>22</v>
      </c>
      <c r="J779" s="5" t="s">
        <v>3392</v>
      </c>
      <c r="K779" s="5" t="s">
        <v>3393</v>
      </c>
      <c r="L779" s="5" t="s">
        <v>22</v>
      </c>
      <c r="M779" s="5" t="s">
        <v>3665</v>
      </c>
      <c r="N779" s="5" t="s">
        <v>2774</v>
      </c>
      <c r="O779" s="5" t="s">
        <v>33</v>
      </c>
      <c r="P779" s="5" t="s">
        <v>26</v>
      </c>
      <c r="Q779" s="5" t="s">
        <v>34</v>
      </c>
      <c r="R779" s="5">
        <v>2135</v>
      </c>
      <c r="S779" s="5">
        <v>42.340626648749598</v>
      </c>
      <c r="T779" s="5">
        <v>-71.078897920000003</v>
      </c>
    </row>
    <row r="780" spans="1:20" x14ac:dyDescent="0.3">
      <c r="A780" s="5" t="s">
        <v>2775</v>
      </c>
      <c r="B780" s="6">
        <v>9757</v>
      </c>
      <c r="C780" s="6">
        <v>42954</v>
      </c>
      <c r="D780" s="5" t="s">
        <v>29</v>
      </c>
      <c r="E780" s="5" t="s">
        <v>2776</v>
      </c>
      <c r="F780" s="5" t="s">
        <v>1200</v>
      </c>
      <c r="G780" s="5" t="str">
        <f t="shared" si="224"/>
        <v>Not Available</v>
      </c>
      <c r="H780" s="5" t="str">
        <f t="shared" si="223"/>
        <v>Not Available</v>
      </c>
      <c r="I780" s="5" t="s">
        <v>22</v>
      </c>
      <c r="J780" s="5" t="s">
        <v>3387</v>
      </c>
      <c r="K780" s="5" t="s">
        <v>3393</v>
      </c>
      <c r="L780" s="5" t="s">
        <v>22</v>
      </c>
      <c r="M780" s="5" t="s">
        <v>3666</v>
      </c>
      <c r="N780" s="5" t="s">
        <v>2777</v>
      </c>
      <c r="O780" s="5" t="s">
        <v>25</v>
      </c>
      <c r="P780" s="5" t="s">
        <v>26</v>
      </c>
      <c r="Q780" s="5" t="s">
        <v>27</v>
      </c>
      <c r="R780" s="5" t="str">
        <f>"0000"</f>
        <v>0000</v>
      </c>
      <c r="S780" s="5">
        <v>42.306038657029298</v>
      </c>
      <c r="T780" s="5">
        <v>-71.03429208</v>
      </c>
    </row>
    <row r="781" spans="1:20" x14ac:dyDescent="0.3">
      <c r="A781" s="5" t="s">
        <v>2778</v>
      </c>
      <c r="B781" s="6">
        <v>27854</v>
      </c>
      <c r="C781" s="6" t="str">
        <f t="shared" ref="C781:C790" si="225">"Active/Unavailable"</f>
        <v>Active/Unavailable</v>
      </c>
      <c r="D781" s="5" t="s">
        <v>18</v>
      </c>
      <c r="E781" s="5" t="s">
        <v>343</v>
      </c>
      <c r="F781" s="5" t="s">
        <v>64</v>
      </c>
      <c r="G781" s="5" t="str">
        <f t="shared" si="224"/>
        <v>Not Available</v>
      </c>
      <c r="H781" s="5" t="s">
        <v>2370</v>
      </c>
      <c r="I781" s="5" t="s">
        <v>22</v>
      </c>
      <c r="J781" s="5" t="s">
        <v>3387</v>
      </c>
      <c r="K781" s="5" t="s">
        <v>3393</v>
      </c>
      <c r="L781" s="5" t="s">
        <v>23</v>
      </c>
      <c r="M781" s="5" t="s">
        <v>3403</v>
      </c>
      <c r="N781" s="5" t="s">
        <v>2779</v>
      </c>
      <c r="O781" s="5" t="s">
        <v>88</v>
      </c>
      <c r="P781" s="5" t="s">
        <v>26</v>
      </c>
      <c r="Q781" s="5" t="s">
        <v>57</v>
      </c>
      <c r="R781" s="5">
        <v>2155</v>
      </c>
      <c r="S781" s="5">
        <v>42.341222235757499</v>
      </c>
      <c r="T781" s="5">
        <v>-71.072256699999997</v>
      </c>
    </row>
    <row r="782" spans="1:20" x14ac:dyDescent="0.3">
      <c r="A782" s="7" t="s">
        <v>2780</v>
      </c>
      <c r="B782" s="6">
        <v>29728</v>
      </c>
      <c r="C782" s="6" t="str">
        <f t="shared" si="225"/>
        <v>Active/Unavailable</v>
      </c>
      <c r="D782" s="5" t="s">
        <v>29</v>
      </c>
      <c r="E782" s="5" t="s">
        <v>2781</v>
      </c>
      <c r="F782" s="5" t="s">
        <v>1051</v>
      </c>
      <c r="G782" s="5" t="str">
        <f t="shared" si="224"/>
        <v>Not Available</v>
      </c>
      <c r="H782" s="5" t="str">
        <f>"Not Available"</f>
        <v>Not Available</v>
      </c>
      <c r="I782" s="5" t="s">
        <v>65</v>
      </c>
      <c r="J782" s="5" t="s">
        <v>3387</v>
      </c>
      <c r="K782" s="5" t="s">
        <v>3393</v>
      </c>
      <c r="L782" s="5" t="s">
        <v>22</v>
      </c>
      <c r="M782" s="5" t="s">
        <v>3429</v>
      </c>
      <c r="N782" s="5" t="s">
        <v>2782</v>
      </c>
      <c r="O782" s="5" t="s">
        <v>33</v>
      </c>
      <c r="P782" s="5" t="s">
        <v>26</v>
      </c>
      <c r="Q782" s="5" t="s">
        <v>34</v>
      </c>
      <c r="R782" s="5">
        <v>2118</v>
      </c>
      <c r="S782" s="5">
        <v>42.294592943698603</v>
      </c>
      <c r="T782" s="5">
        <v>-71.057497889999993</v>
      </c>
    </row>
    <row r="783" spans="1:20" x14ac:dyDescent="0.3">
      <c r="A783" s="5" t="s">
        <v>2783</v>
      </c>
      <c r="B783" s="6">
        <v>21882</v>
      </c>
      <c r="C783" s="6" t="str">
        <f t="shared" si="225"/>
        <v>Active/Unavailable</v>
      </c>
      <c r="D783" s="5" t="s">
        <v>18</v>
      </c>
      <c r="E783" s="5" t="s">
        <v>2784</v>
      </c>
      <c r="F783" s="5" t="s">
        <v>2785</v>
      </c>
      <c r="G783" s="5" t="str">
        <f t="shared" si="224"/>
        <v>Not Available</v>
      </c>
      <c r="H783" s="5" t="s">
        <v>636</v>
      </c>
      <c r="I783" s="5" t="s">
        <v>22</v>
      </c>
      <c r="J783" s="5" t="s">
        <v>3387</v>
      </c>
      <c r="K783" s="5" t="s">
        <v>3393</v>
      </c>
      <c r="L783" s="5" t="s">
        <v>23</v>
      </c>
      <c r="M783" s="5" t="s">
        <v>3527</v>
      </c>
      <c r="N783" s="5" t="s">
        <v>2786</v>
      </c>
      <c r="O783" s="5" t="s">
        <v>33</v>
      </c>
      <c r="P783" s="5" t="s">
        <v>26</v>
      </c>
      <c r="Q783" s="5" t="s">
        <v>34</v>
      </c>
      <c r="R783" s="5">
        <v>2136</v>
      </c>
      <c r="S783" s="5">
        <v>42.321064556502797</v>
      </c>
      <c r="T783" s="5">
        <v>-71.039768960000004</v>
      </c>
    </row>
    <row r="784" spans="1:20" x14ac:dyDescent="0.3">
      <c r="A784" s="5" t="s">
        <v>2787</v>
      </c>
      <c r="B784" s="6">
        <v>11704</v>
      </c>
      <c r="C784" s="6" t="str">
        <f t="shared" si="225"/>
        <v>Active/Unavailable</v>
      </c>
      <c r="D784" s="5" t="s">
        <v>18</v>
      </c>
      <c r="E784" s="5" t="s">
        <v>2788</v>
      </c>
      <c r="F784" s="5" t="s">
        <v>3380</v>
      </c>
      <c r="G784" s="5" t="str">
        <f t="shared" si="224"/>
        <v>Not Available</v>
      </c>
      <c r="H784" s="5" t="s">
        <v>2789</v>
      </c>
      <c r="I784" s="5" t="s">
        <v>22</v>
      </c>
      <c r="J784" s="5" t="s">
        <v>3387</v>
      </c>
      <c r="K784" s="5" t="s">
        <v>3394</v>
      </c>
      <c r="L784" s="5" t="s">
        <v>23</v>
      </c>
      <c r="M784" s="5" t="s">
        <v>3462</v>
      </c>
      <c r="N784" s="5" t="s">
        <v>2790</v>
      </c>
      <c r="O784" s="5" t="s">
        <v>33</v>
      </c>
      <c r="P784" s="5" t="s">
        <v>26</v>
      </c>
      <c r="Q784" s="5" t="s">
        <v>34</v>
      </c>
      <c r="R784" s="5">
        <v>2125</v>
      </c>
      <c r="S784" s="5">
        <v>42.38829758</v>
      </c>
      <c r="T784" s="5">
        <v>-71.009836680000006</v>
      </c>
    </row>
    <row r="785" spans="1:20" x14ac:dyDescent="0.3">
      <c r="A785" s="5" t="s">
        <v>2791</v>
      </c>
      <c r="B785" s="6">
        <v>9256</v>
      </c>
      <c r="C785" s="6" t="str">
        <f t="shared" si="225"/>
        <v>Active/Unavailable</v>
      </c>
      <c r="D785" s="5" t="s">
        <v>29</v>
      </c>
      <c r="E785" s="5" t="s">
        <v>2792</v>
      </c>
      <c r="F785" s="5" t="s">
        <v>2793</v>
      </c>
      <c r="G785" s="5" t="str">
        <f t="shared" si="224"/>
        <v>Not Available</v>
      </c>
      <c r="H785" s="5" t="str">
        <f>"Not Available"</f>
        <v>Not Available</v>
      </c>
      <c r="I785" s="5" t="s">
        <v>22</v>
      </c>
      <c r="J785" s="5" t="s">
        <v>3387</v>
      </c>
      <c r="K785" s="5" t="s">
        <v>3393</v>
      </c>
      <c r="L785" s="5" t="s">
        <v>22</v>
      </c>
      <c r="M785" s="5" t="s">
        <v>3400</v>
      </c>
      <c r="N785" s="5" t="s">
        <v>2794</v>
      </c>
      <c r="O785" s="5" t="s">
        <v>56</v>
      </c>
      <c r="P785" s="5" t="s">
        <v>26</v>
      </c>
      <c r="Q785" s="5" t="s">
        <v>57</v>
      </c>
      <c r="R785" s="5">
        <v>2139</v>
      </c>
      <c r="S785" s="5">
        <v>42.326687954691103</v>
      </c>
      <c r="T785" s="5">
        <v>-71.064486689999995</v>
      </c>
    </row>
    <row r="786" spans="1:20" x14ac:dyDescent="0.3">
      <c r="A786" s="5" t="s">
        <v>2795</v>
      </c>
      <c r="B786" s="6">
        <v>16834</v>
      </c>
      <c r="C786" s="6" t="str">
        <f t="shared" si="225"/>
        <v>Active/Unavailable</v>
      </c>
      <c r="D786" s="5" t="s">
        <v>18</v>
      </c>
      <c r="E786" s="5" t="s">
        <v>2796</v>
      </c>
      <c r="F786" s="5" t="s">
        <v>558</v>
      </c>
      <c r="G786" s="5" t="str">
        <f t="shared" si="224"/>
        <v>Not Available</v>
      </c>
      <c r="H786" s="5" t="s">
        <v>905</v>
      </c>
      <c r="I786" s="5" t="s">
        <v>22</v>
      </c>
      <c r="J786" s="5" t="s">
        <v>3388</v>
      </c>
      <c r="K786" s="5" t="s">
        <v>3394</v>
      </c>
      <c r="L786" s="5" t="s">
        <v>23</v>
      </c>
      <c r="M786" s="5" t="s">
        <v>3501</v>
      </c>
      <c r="N786" s="5" t="s">
        <v>2797</v>
      </c>
      <c r="O786" s="5" t="s">
        <v>33</v>
      </c>
      <c r="P786" s="5" t="s">
        <v>26</v>
      </c>
      <c r="Q786" s="5" t="s">
        <v>34</v>
      </c>
      <c r="R786" s="5">
        <v>2122</v>
      </c>
      <c r="S786" s="5">
        <v>42.327116268197798</v>
      </c>
      <c r="T786" s="5">
        <v>-71.161368960000004</v>
      </c>
    </row>
    <row r="787" spans="1:20" x14ac:dyDescent="0.3">
      <c r="A787" s="5" t="s">
        <v>2798</v>
      </c>
      <c r="B787" s="6">
        <v>21715</v>
      </c>
      <c r="C787" s="6" t="str">
        <f t="shared" si="225"/>
        <v>Active/Unavailable</v>
      </c>
      <c r="D787" s="5" t="s">
        <v>18</v>
      </c>
      <c r="E787" s="5" t="s">
        <v>2799</v>
      </c>
      <c r="F787" s="5" t="s">
        <v>983</v>
      </c>
      <c r="G787" s="5" t="str">
        <f t="shared" si="224"/>
        <v>Not Available</v>
      </c>
      <c r="H787" s="5" t="s">
        <v>2613</v>
      </c>
      <c r="I787" s="5" t="s">
        <v>22</v>
      </c>
      <c r="J787" s="5" t="s">
        <v>3387</v>
      </c>
      <c r="K787" s="5" t="s">
        <v>3393</v>
      </c>
      <c r="L787" s="5" t="s">
        <v>23</v>
      </c>
      <c r="M787" s="5" t="s">
        <v>3657</v>
      </c>
      <c r="N787" s="5" t="s">
        <v>2800</v>
      </c>
      <c r="O787" s="5" t="s">
        <v>108</v>
      </c>
      <c r="P787" s="5" t="s">
        <v>26</v>
      </c>
      <c r="Q787" s="5" t="s">
        <v>34</v>
      </c>
      <c r="R787" s="5" t="str">
        <f>"0000"</f>
        <v>0000</v>
      </c>
      <c r="S787" s="5">
        <v>42.409499243909302</v>
      </c>
      <c r="T787" s="5">
        <v>-70.981153230000004</v>
      </c>
    </row>
    <row r="788" spans="1:20" x14ac:dyDescent="0.3">
      <c r="A788" s="5" t="s">
        <v>2801</v>
      </c>
      <c r="B788" s="6">
        <v>15105</v>
      </c>
      <c r="C788" s="6" t="str">
        <f t="shared" si="225"/>
        <v>Active/Unavailable</v>
      </c>
      <c r="D788" s="5" t="s">
        <v>18</v>
      </c>
      <c r="E788" s="5" t="s">
        <v>2802</v>
      </c>
      <c r="F788" s="5" t="s">
        <v>1554</v>
      </c>
      <c r="G788" s="5" t="str">
        <f t="shared" si="224"/>
        <v>Not Available</v>
      </c>
      <c r="H788" s="5" t="s">
        <v>528</v>
      </c>
      <c r="I788" s="5" t="s">
        <v>22</v>
      </c>
      <c r="J788" s="5" t="s">
        <v>3387</v>
      </c>
      <c r="K788" s="5" t="s">
        <v>3393</v>
      </c>
      <c r="L788" s="5" t="s">
        <v>23</v>
      </c>
      <c r="M788" s="5" t="s">
        <v>3599</v>
      </c>
      <c r="N788" s="5" t="s">
        <v>2803</v>
      </c>
      <c r="O788" s="5" t="s">
        <v>145</v>
      </c>
      <c r="P788" s="5" t="s">
        <v>26</v>
      </c>
      <c r="Q788" s="5" t="s">
        <v>57</v>
      </c>
      <c r="R788" s="5">
        <v>2149</v>
      </c>
      <c r="S788" s="5">
        <v>42.383270952776599</v>
      </c>
      <c r="T788" s="5">
        <v>-71.011740669999995</v>
      </c>
    </row>
    <row r="789" spans="1:20" x14ac:dyDescent="0.3">
      <c r="A789" s="5" t="s">
        <v>2804</v>
      </c>
      <c r="B789" s="6">
        <v>30622</v>
      </c>
      <c r="C789" s="6" t="str">
        <f t="shared" si="225"/>
        <v>Active/Unavailable</v>
      </c>
      <c r="D789" s="5" t="s">
        <v>29</v>
      </c>
      <c r="E789" s="5" t="s">
        <v>2805</v>
      </c>
      <c r="F789" s="5" t="s">
        <v>1181</v>
      </c>
      <c r="G789" s="5" t="str">
        <f t="shared" si="224"/>
        <v>Not Available</v>
      </c>
      <c r="H789" s="5" t="str">
        <f>"Not Available"</f>
        <v>Not Available</v>
      </c>
      <c r="I789" s="5" t="s">
        <v>65</v>
      </c>
      <c r="J789" s="5" t="s">
        <v>3392</v>
      </c>
      <c r="K789" s="5" t="s">
        <v>3393</v>
      </c>
      <c r="L789" s="5" t="s">
        <v>22</v>
      </c>
      <c r="M789" s="5" t="s">
        <v>3667</v>
      </c>
      <c r="N789" s="5" t="s">
        <v>2806</v>
      </c>
      <c r="O789" s="5" t="s">
        <v>33</v>
      </c>
      <c r="P789" s="5" t="s">
        <v>26</v>
      </c>
      <c r="Q789" s="5" t="s">
        <v>34</v>
      </c>
      <c r="R789" s="5">
        <v>2130</v>
      </c>
      <c r="S789" s="5">
        <v>42.311733907582202</v>
      </c>
      <c r="T789" s="5">
        <v>-71.06848257</v>
      </c>
    </row>
    <row r="790" spans="1:20" x14ac:dyDescent="0.3">
      <c r="A790" s="5" t="s">
        <v>2807</v>
      </c>
      <c r="B790" s="6">
        <v>8680</v>
      </c>
      <c r="C790" s="6" t="str">
        <f t="shared" si="225"/>
        <v>Active/Unavailable</v>
      </c>
      <c r="D790" s="5" t="s">
        <v>18</v>
      </c>
      <c r="E790" s="5" t="s">
        <v>2808</v>
      </c>
      <c r="F790" s="5" t="s">
        <v>250</v>
      </c>
      <c r="G790" s="5" t="str">
        <f t="shared" si="224"/>
        <v>Not Available</v>
      </c>
      <c r="H790" s="5" t="s">
        <v>651</v>
      </c>
      <c r="I790" s="5" t="s">
        <v>22</v>
      </c>
      <c r="J790" s="5" t="s">
        <v>3392</v>
      </c>
      <c r="K790" s="5" t="s">
        <v>3393</v>
      </c>
      <c r="L790" s="5" t="s">
        <v>23</v>
      </c>
      <c r="M790" s="5" t="s">
        <v>3400</v>
      </c>
      <c r="N790" s="5" t="s">
        <v>2809</v>
      </c>
      <c r="O790" s="5" t="s">
        <v>33</v>
      </c>
      <c r="P790" s="5" t="s">
        <v>26</v>
      </c>
      <c r="Q790" s="5" t="s">
        <v>34</v>
      </c>
      <c r="R790" s="5">
        <v>2124</v>
      </c>
      <c r="S790" s="5">
        <v>42.314456678614803</v>
      </c>
      <c r="T790" s="5">
        <v>-71.059025680000005</v>
      </c>
    </row>
    <row r="791" spans="1:20" x14ac:dyDescent="0.3">
      <c r="A791" s="5" t="s">
        <v>2810</v>
      </c>
      <c r="B791" s="6">
        <v>10754</v>
      </c>
      <c r="C791" s="6">
        <v>41459</v>
      </c>
      <c r="D791" s="5" t="s">
        <v>100</v>
      </c>
      <c r="E791" s="5" t="s">
        <v>2811</v>
      </c>
      <c r="F791" s="5" t="s">
        <v>1427</v>
      </c>
      <c r="G791" s="5" t="str">
        <f t="shared" si="224"/>
        <v>Not Available</v>
      </c>
      <c r="H791" s="5" t="str">
        <f t="shared" ref="H791:H795" si="226">"Not Available"</f>
        <v>Not Available</v>
      </c>
      <c r="I791" s="5" t="s">
        <v>65</v>
      </c>
      <c r="J791" s="5" t="s">
        <v>3387</v>
      </c>
      <c r="K791" s="5" t="s">
        <v>3393</v>
      </c>
      <c r="L791" s="5" t="s">
        <v>23</v>
      </c>
      <c r="M791" s="5" t="s">
        <v>3400</v>
      </c>
      <c r="N791" s="5" t="s">
        <v>2812</v>
      </c>
      <c r="O791" s="5" t="s">
        <v>33</v>
      </c>
      <c r="P791" s="5" t="s">
        <v>26</v>
      </c>
      <c r="Q791" s="5" t="s">
        <v>34</v>
      </c>
      <c r="R791" s="5" t="str">
        <f>"0000"</f>
        <v>0000</v>
      </c>
      <c r="S791" s="5">
        <v>42.383093122623897</v>
      </c>
      <c r="T791" s="5">
        <v>-71.026434760000001</v>
      </c>
    </row>
    <row r="792" spans="1:20" x14ac:dyDescent="0.3">
      <c r="A792" s="5" t="s">
        <v>2813</v>
      </c>
      <c r="B792" s="6">
        <v>26800</v>
      </c>
      <c r="C792" s="6" t="str">
        <f t="shared" ref="C792:C802" si="227">"Active/Unavailable"</f>
        <v>Active/Unavailable</v>
      </c>
      <c r="D792" s="5" t="s">
        <v>29</v>
      </c>
      <c r="E792" s="5" t="s">
        <v>2814</v>
      </c>
      <c r="F792" s="5" t="s">
        <v>1367</v>
      </c>
      <c r="G792" s="5" t="str">
        <f t="shared" si="224"/>
        <v>Not Available</v>
      </c>
      <c r="H792" s="5" t="str">
        <f t="shared" si="226"/>
        <v>Not Available</v>
      </c>
      <c r="I792" s="5" t="s">
        <v>22</v>
      </c>
      <c r="J792" s="5" t="s">
        <v>3387</v>
      </c>
      <c r="K792" s="5" t="s">
        <v>3393</v>
      </c>
      <c r="L792" s="5" t="s">
        <v>22</v>
      </c>
      <c r="M792" s="5" t="s">
        <v>3427</v>
      </c>
      <c r="N792" s="5" t="s">
        <v>2815</v>
      </c>
      <c r="O792" s="5" t="s">
        <v>33</v>
      </c>
      <c r="P792" s="5" t="s">
        <v>26</v>
      </c>
      <c r="Q792" s="5" t="s">
        <v>34</v>
      </c>
      <c r="R792" s="5">
        <v>2124</v>
      </c>
      <c r="S792" s="5">
        <v>42.297224567313798</v>
      </c>
      <c r="T792" s="5">
        <v>-71.049733509999996</v>
      </c>
    </row>
    <row r="793" spans="1:20" x14ac:dyDescent="0.3">
      <c r="A793" s="5" t="s">
        <v>2816</v>
      </c>
      <c r="B793" s="6">
        <v>25828</v>
      </c>
      <c r="C793" s="6" t="str">
        <f t="shared" si="227"/>
        <v>Active/Unavailable</v>
      </c>
      <c r="D793" s="5" t="s">
        <v>29</v>
      </c>
      <c r="E793" s="5" t="s">
        <v>2817</v>
      </c>
      <c r="F793" s="5" t="s">
        <v>2213</v>
      </c>
      <c r="G793" s="5" t="str">
        <f t="shared" si="224"/>
        <v>Not Available</v>
      </c>
      <c r="H793" s="5" t="str">
        <f t="shared" si="226"/>
        <v>Not Available</v>
      </c>
      <c r="I793" s="5" t="s">
        <v>65</v>
      </c>
      <c r="J793" s="5" t="s">
        <v>3387</v>
      </c>
      <c r="K793" s="5" t="s">
        <v>3393</v>
      </c>
      <c r="L793" s="5" t="s">
        <v>22</v>
      </c>
      <c r="M793" s="5" t="s">
        <v>3467</v>
      </c>
      <c r="N793" s="5" t="s">
        <v>2818</v>
      </c>
      <c r="O793" s="5" t="s">
        <v>679</v>
      </c>
      <c r="P793" s="5" t="s">
        <v>26</v>
      </c>
      <c r="Q793" s="5" t="s">
        <v>317</v>
      </c>
      <c r="R793" s="5">
        <v>2045</v>
      </c>
      <c r="S793" s="5">
        <v>42.348373086955398</v>
      </c>
      <c r="T793" s="5">
        <v>-70.889878229999994</v>
      </c>
    </row>
    <row r="794" spans="1:20" x14ac:dyDescent="0.3">
      <c r="A794" s="5" t="s">
        <v>2819</v>
      </c>
      <c r="B794" s="6">
        <v>19928</v>
      </c>
      <c r="C794" s="6" t="str">
        <f t="shared" si="227"/>
        <v>Active/Unavailable</v>
      </c>
      <c r="D794" s="5" t="s">
        <v>29</v>
      </c>
      <c r="E794" s="5" t="s">
        <v>1695</v>
      </c>
      <c r="F794" s="5" t="s">
        <v>934</v>
      </c>
      <c r="G794" s="5" t="str">
        <f t="shared" si="224"/>
        <v>Not Available</v>
      </c>
      <c r="H794" s="5" t="str">
        <f t="shared" si="226"/>
        <v>Not Available</v>
      </c>
      <c r="I794" s="5" t="s">
        <v>22</v>
      </c>
      <c r="J794" s="5" t="s">
        <v>3387</v>
      </c>
      <c r="K794" s="5" t="s">
        <v>3393</v>
      </c>
      <c r="L794" s="5" t="s">
        <v>22</v>
      </c>
      <c r="M794" s="5" t="s">
        <v>3512</v>
      </c>
      <c r="N794" s="5" t="s">
        <v>2820</v>
      </c>
      <c r="O794" s="5" t="s">
        <v>33</v>
      </c>
      <c r="P794" s="5" t="s">
        <v>26</v>
      </c>
      <c r="Q794" s="5" t="s">
        <v>34</v>
      </c>
      <c r="R794" s="5">
        <v>2125</v>
      </c>
      <c r="S794" s="5">
        <v>42.367873233925003</v>
      </c>
      <c r="T794" s="5">
        <v>-71.072427430000005</v>
      </c>
    </row>
    <row r="795" spans="1:20" x14ac:dyDescent="0.3">
      <c r="A795" s="5" t="s">
        <v>2821</v>
      </c>
      <c r="B795" s="6">
        <v>26243</v>
      </c>
      <c r="C795" s="6" t="str">
        <f t="shared" si="227"/>
        <v>Active/Unavailable</v>
      </c>
      <c r="D795" s="5" t="s">
        <v>100</v>
      </c>
      <c r="E795" s="5" t="s">
        <v>2822</v>
      </c>
      <c r="F795" s="5" t="s">
        <v>2823</v>
      </c>
      <c r="G795" s="5" t="str">
        <f t="shared" si="224"/>
        <v>Not Available</v>
      </c>
      <c r="H795" s="5" t="str">
        <f t="shared" si="226"/>
        <v>Not Available</v>
      </c>
      <c r="I795" s="5" t="s">
        <v>65</v>
      </c>
      <c r="J795" s="5" t="s">
        <v>3387</v>
      </c>
      <c r="K795" s="5" t="s">
        <v>3393</v>
      </c>
      <c r="L795" s="5" t="s">
        <v>23</v>
      </c>
      <c r="M795" s="5" t="s">
        <v>3668</v>
      </c>
      <c r="N795" s="5" t="s">
        <v>2824</v>
      </c>
      <c r="O795" s="5" t="s">
        <v>33</v>
      </c>
      <c r="P795" s="5" t="s">
        <v>26</v>
      </c>
      <c r="Q795" s="5" t="s">
        <v>34</v>
      </c>
      <c r="R795" s="5">
        <v>2135</v>
      </c>
      <c r="S795" s="5">
        <v>42.346726705412301</v>
      </c>
      <c r="T795" s="5">
        <v>-70.957574570000006</v>
      </c>
    </row>
    <row r="796" spans="1:20" x14ac:dyDescent="0.3">
      <c r="A796" s="5" t="s">
        <v>2825</v>
      </c>
      <c r="B796" s="6">
        <v>14123</v>
      </c>
      <c r="C796" s="6" t="str">
        <f t="shared" si="227"/>
        <v>Active/Unavailable</v>
      </c>
      <c r="D796" s="5" t="s">
        <v>18</v>
      </c>
      <c r="E796" s="5" t="s">
        <v>2826</v>
      </c>
      <c r="F796" s="5" t="s">
        <v>948</v>
      </c>
      <c r="G796" s="5" t="str">
        <f t="shared" si="224"/>
        <v>Not Available</v>
      </c>
      <c r="H796" s="5" t="s">
        <v>202</v>
      </c>
      <c r="I796" s="5" t="s">
        <v>22</v>
      </c>
      <c r="J796" s="5" t="s">
        <v>3387</v>
      </c>
      <c r="K796" s="5" t="s">
        <v>3393</v>
      </c>
      <c r="L796" s="5" t="s">
        <v>23</v>
      </c>
      <c r="M796" s="5" t="s">
        <v>3410</v>
      </c>
      <c r="N796" s="5" t="s">
        <v>2827</v>
      </c>
      <c r="O796" s="5" t="s">
        <v>33</v>
      </c>
      <c r="P796" s="5" t="s">
        <v>26</v>
      </c>
      <c r="Q796" s="5" t="s">
        <v>34</v>
      </c>
      <c r="R796" s="5">
        <v>2215</v>
      </c>
      <c r="S796" s="5">
        <v>42.352602627501298</v>
      </c>
      <c r="T796" s="5">
        <v>-71.024134900000007</v>
      </c>
    </row>
    <row r="797" spans="1:20" x14ac:dyDescent="0.3">
      <c r="A797" s="5" t="s">
        <v>2828</v>
      </c>
      <c r="B797" s="6">
        <v>13937</v>
      </c>
      <c r="C797" s="6" t="str">
        <f t="shared" si="227"/>
        <v>Active/Unavailable</v>
      </c>
      <c r="D797" s="5" t="s">
        <v>29</v>
      </c>
      <c r="E797" s="5" t="s">
        <v>2829</v>
      </c>
      <c r="F797" s="5" t="s">
        <v>2557</v>
      </c>
      <c r="G797" s="5" t="str">
        <f t="shared" si="224"/>
        <v>Not Available</v>
      </c>
      <c r="H797" s="5" t="str">
        <f t="shared" ref="H797:H798" si="228">"Not Available"</f>
        <v>Not Available</v>
      </c>
      <c r="I797" s="5" t="s">
        <v>22</v>
      </c>
      <c r="J797" s="5" t="s">
        <v>3389</v>
      </c>
      <c r="K797" s="5" t="s">
        <v>3393</v>
      </c>
      <c r="L797" s="5" t="s">
        <v>22</v>
      </c>
      <c r="M797" s="5" t="s">
        <v>3436</v>
      </c>
      <c r="N797" s="5" t="s">
        <v>2830</v>
      </c>
      <c r="O797" s="5" t="s">
        <v>486</v>
      </c>
      <c r="P797" s="5" t="s">
        <v>26</v>
      </c>
      <c r="Q797" s="5" t="s">
        <v>34</v>
      </c>
      <c r="R797" s="5">
        <v>2152</v>
      </c>
      <c r="S797" s="5">
        <v>42.398046802169397</v>
      </c>
      <c r="T797" s="5">
        <v>-70.933638060000007</v>
      </c>
    </row>
    <row r="798" spans="1:20" x14ac:dyDescent="0.3">
      <c r="A798" s="5" t="s">
        <v>2831</v>
      </c>
      <c r="B798" s="6">
        <v>19992</v>
      </c>
      <c r="C798" s="6" t="str">
        <f t="shared" si="227"/>
        <v>Active/Unavailable</v>
      </c>
      <c r="D798" s="5" t="s">
        <v>100</v>
      </c>
      <c r="E798" s="5" t="s">
        <v>2832</v>
      </c>
      <c r="F798" s="5" t="s">
        <v>170</v>
      </c>
      <c r="G798" s="5" t="str">
        <f t="shared" si="224"/>
        <v>Not Available</v>
      </c>
      <c r="H798" s="5" t="str">
        <f t="shared" si="228"/>
        <v>Not Available</v>
      </c>
      <c r="I798" s="5" t="s">
        <v>65</v>
      </c>
      <c r="J798" s="5" t="s">
        <v>3387</v>
      </c>
      <c r="K798" s="5" t="s">
        <v>3393</v>
      </c>
      <c r="L798" s="5" t="s">
        <v>23</v>
      </c>
      <c r="M798" s="5" t="s">
        <v>3427</v>
      </c>
      <c r="N798" s="5" t="s">
        <v>3711</v>
      </c>
      <c r="O798" s="5" t="s">
        <v>172</v>
      </c>
      <c r="P798" s="5" t="s">
        <v>26</v>
      </c>
      <c r="Q798" s="5" t="s">
        <v>34</v>
      </c>
      <c r="R798" s="5">
        <v>2151</v>
      </c>
      <c r="S798" s="5">
        <v>42.349881248280802</v>
      </c>
      <c r="T798" s="5">
        <v>-70.992787199999995</v>
      </c>
    </row>
    <row r="799" spans="1:20" x14ac:dyDescent="0.3">
      <c r="A799" s="5" t="s">
        <v>2833</v>
      </c>
      <c r="B799" s="6">
        <v>20473</v>
      </c>
      <c r="C799" s="6" t="str">
        <f t="shared" si="227"/>
        <v>Active/Unavailable</v>
      </c>
      <c r="D799" s="5" t="s">
        <v>18</v>
      </c>
      <c r="E799" s="5" t="s">
        <v>2834</v>
      </c>
      <c r="F799" s="5" t="s">
        <v>202</v>
      </c>
      <c r="G799" s="5" t="str">
        <f t="shared" si="224"/>
        <v>Not Available</v>
      </c>
      <c r="H799" s="5" t="s">
        <v>1536</v>
      </c>
      <c r="I799" s="5" t="s">
        <v>22</v>
      </c>
      <c r="J799" s="5" t="s">
        <v>3389</v>
      </c>
      <c r="K799" s="5" t="s">
        <v>3393</v>
      </c>
      <c r="L799" s="5" t="s">
        <v>23</v>
      </c>
      <c r="M799" s="5" t="s">
        <v>3532</v>
      </c>
      <c r="N799" s="5" t="s">
        <v>2835</v>
      </c>
      <c r="O799" s="5" t="s">
        <v>33</v>
      </c>
      <c r="P799" s="5" t="s">
        <v>26</v>
      </c>
      <c r="Q799" s="5" t="s">
        <v>34</v>
      </c>
      <c r="R799" s="5">
        <v>2114</v>
      </c>
      <c r="S799" s="5">
        <v>42.313660449607298</v>
      </c>
      <c r="T799" s="5">
        <v>-71.067900320000007</v>
      </c>
    </row>
    <row r="800" spans="1:20" x14ac:dyDescent="0.3">
      <c r="A800" s="5" t="s">
        <v>2836</v>
      </c>
      <c r="B800" s="6">
        <v>27990</v>
      </c>
      <c r="C800" s="6" t="str">
        <f t="shared" si="227"/>
        <v>Active/Unavailable</v>
      </c>
      <c r="D800" s="5" t="s">
        <v>18</v>
      </c>
      <c r="E800" s="5" t="s">
        <v>2837</v>
      </c>
      <c r="F800" s="5" t="s">
        <v>1368</v>
      </c>
      <c r="G800" s="5" t="str">
        <f t="shared" si="224"/>
        <v>Not Available</v>
      </c>
      <c r="H800" s="5" t="s">
        <v>1631</v>
      </c>
      <c r="I800" s="5" t="s">
        <v>22</v>
      </c>
      <c r="J800" s="5" t="s">
        <v>3387</v>
      </c>
      <c r="K800" s="5" t="s">
        <v>3393</v>
      </c>
      <c r="L800" s="5" t="s">
        <v>23</v>
      </c>
      <c r="M800" s="5" t="s">
        <v>3513</v>
      </c>
      <c r="N800" s="5" t="s">
        <v>2838</v>
      </c>
      <c r="O800" s="5" t="s">
        <v>33</v>
      </c>
      <c r="P800" s="5" t="s">
        <v>26</v>
      </c>
      <c r="Q800" s="5" t="s">
        <v>34</v>
      </c>
      <c r="R800" s="5">
        <v>2125</v>
      </c>
      <c r="S800" s="5">
        <v>42.3096765440933</v>
      </c>
      <c r="T800" s="5">
        <v>-71.066057860000001</v>
      </c>
    </row>
    <row r="801" spans="1:20" x14ac:dyDescent="0.3">
      <c r="A801" s="5" t="s">
        <v>2839</v>
      </c>
      <c r="B801" s="6">
        <v>18730</v>
      </c>
      <c r="C801" s="6" t="str">
        <f t="shared" si="227"/>
        <v>Active/Unavailable</v>
      </c>
      <c r="D801" s="5" t="s">
        <v>29</v>
      </c>
      <c r="E801" s="5" t="s">
        <v>1330</v>
      </c>
      <c r="F801" s="5" t="s">
        <v>545</v>
      </c>
      <c r="G801" s="5" t="str">
        <f t="shared" si="224"/>
        <v>Not Available</v>
      </c>
      <c r="H801" s="5" t="str">
        <f>"Not Available"</f>
        <v>Not Available</v>
      </c>
      <c r="I801" s="5" t="s">
        <v>65</v>
      </c>
      <c r="J801" s="5" t="s">
        <v>3387</v>
      </c>
      <c r="K801" s="5" t="s">
        <v>3393</v>
      </c>
      <c r="L801" s="5" t="s">
        <v>22</v>
      </c>
      <c r="M801" s="5" t="s">
        <v>3400</v>
      </c>
      <c r="N801" s="5" t="s">
        <v>2840</v>
      </c>
      <c r="O801" s="5" t="s">
        <v>56</v>
      </c>
      <c r="P801" s="5" t="s">
        <v>26</v>
      </c>
      <c r="Q801" s="5" t="s">
        <v>57</v>
      </c>
      <c r="R801" s="5">
        <v>2138</v>
      </c>
      <c r="S801" s="5">
        <v>42.346659012310297</v>
      </c>
      <c r="T801" s="5">
        <v>-71.072245609999996</v>
      </c>
    </row>
    <row r="802" spans="1:20" x14ac:dyDescent="0.3">
      <c r="A802" s="5" t="s">
        <v>2841</v>
      </c>
      <c r="B802" s="6">
        <v>23577</v>
      </c>
      <c r="C802" s="6" t="str">
        <f t="shared" si="227"/>
        <v>Active/Unavailable</v>
      </c>
      <c r="D802" s="5" t="s">
        <v>18</v>
      </c>
      <c r="E802" s="5" t="s">
        <v>2842</v>
      </c>
      <c r="F802" s="5" t="s">
        <v>2741</v>
      </c>
      <c r="G802" s="5" t="str">
        <f t="shared" si="224"/>
        <v>Not Available</v>
      </c>
      <c r="H802" s="5" t="s">
        <v>2644</v>
      </c>
      <c r="I802" s="5" t="s">
        <v>22</v>
      </c>
      <c r="J802" s="5" t="s">
        <v>3388</v>
      </c>
      <c r="K802" s="5" t="s">
        <v>3394</v>
      </c>
      <c r="L802" s="5" t="s">
        <v>23</v>
      </c>
      <c r="M802" s="5" t="s">
        <v>3400</v>
      </c>
      <c r="N802" s="5" t="s">
        <v>2843</v>
      </c>
      <c r="O802" s="5" t="s">
        <v>33</v>
      </c>
      <c r="P802" s="5" t="s">
        <v>26</v>
      </c>
      <c r="Q802" s="5" t="s">
        <v>34</v>
      </c>
      <c r="R802" s="5">
        <v>2114</v>
      </c>
      <c r="S802" s="5">
        <v>42.354783416841599</v>
      </c>
      <c r="T802" s="5">
        <v>-71.025953959999995</v>
      </c>
    </row>
    <row r="803" spans="1:20" x14ac:dyDescent="0.3">
      <c r="A803" s="5" t="s">
        <v>2844</v>
      </c>
      <c r="B803" s="6">
        <v>11670</v>
      </c>
      <c r="C803" s="6">
        <v>44201</v>
      </c>
      <c r="D803" s="5" t="s">
        <v>100</v>
      </c>
      <c r="E803" s="5" t="s">
        <v>2845</v>
      </c>
      <c r="F803" s="5" t="s">
        <v>357</v>
      </c>
      <c r="G803" s="5" t="str">
        <f t="shared" si="224"/>
        <v>Not Available</v>
      </c>
      <c r="H803" s="5" t="str">
        <f>"Not Available"</f>
        <v>Not Available</v>
      </c>
      <c r="I803" s="5" t="s">
        <v>65</v>
      </c>
      <c r="J803" s="5" t="s">
        <v>3387</v>
      </c>
      <c r="K803" s="5" t="s">
        <v>3393</v>
      </c>
      <c r="L803" s="5" t="s">
        <v>23</v>
      </c>
      <c r="M803" s="5" t="s">
        <v>3414</v>
      </c>
      <c r="N803" s="5" t="s">
        <v>2846</v>
      </c>
      <c r="O803" s="5" t="s">
        <v>25</v>
      </c>
      <c r="P803" s="5" t="s">
        <v>26</v>
      </c>
      <c r="Q803" s="5" t="s">
        <v>27</v>
      </c>
      <c r="R803" s="5">
        <v>2171</v>
      </c>
      <c r="S803" s="5">
        <v>42.296907118906802</v>
      </c>
      <c r="T803" s="5">
        <v>-71.002333820000004</v>
      </c>
    </row>
    <row r="804" spans="1:20" x14ac:dyDescent="0.3">
      <c r="A804" s="5" t="s">
        <v>2847</v>
      </c>
      <c r="B804" s="6">
        <v>11324</v>
      </c>
      <c r="C804" s="6" t="str">
        <f t="shared" ref="C804:C807" si="229">"Active/Unavailable"</f>
        <v>Active/Unavailable</v>
      </c>
      <c r="D804" s="5" t="s">
        <v>18</v>
      </c>
      <c r="E804" s="5" t="s">
        <v>2848</v>
      </c>
      <c r="F804" s="5" t="s">
        <v>1395</v>
      </c>
      <c r="G804" s="5" t="str">
        <f t="shared" si="224"/>
        <v>Not Available</v>
      </c>
      <c r="H804" s="5" t="s">
        <v>1139</v>
      </c>
      <c r="I804" s="5" t="s">
        <v>22</v>
      </c>
      <c r="J804" s="5" t="s">
        <v>3391</v>
      </c>
      <c r="K804" s="5" t="s">
        <v>3393</v>
      </c>
      <c r="L804" s="5" t="s">
        <v>23</v>
      </c>
      <c r="M804" s="5" t="s">
        <v>3545</v>
      </c>
      <c r="N804" s="5" t="s">
        <v>2849</v>
      </c>
      <c r="O804" s="5" t="s">
        <v>33</v>
      </c>
      <c r="P804" s="5" t="s">
        <v>26</v>
      </c>
      <c r="Q804" s="5" t="s">
        <v>34</v>
      </c>
      <c r="R804" s="5">
        <v>2132</v>
      </c>
      <c r="S804" s="5">
        <v>42.388325788783199</v>
      </c>
      <c r="T804" s="5">
        <v>-70.967452620000003</v>
      </c>
    </row>
    <row r="805" spans="1:20" x14ac:dyDescent="0.3">
      <c r="A805" s="5" t="s">
        <v>2850</v>
      </c>
      <c r="B805" s="6">
        <v>24472</v>
      </c>
      <c r="C805" s="6" t="str">
        <f t="shared" si="229"/>
        <v>Active/Unavailable</v>
      </c>
      <c r="D805" s="5" t="s">
        <v>29</v>
      </c>
      <c r="E805" s="5" t="s">
        <v>2851</v>
      </c>
      <c r="F805" s="5" t="s">
        <v>2852</v>
      </c>
      <c r="G805" s="5" t="str">
        <f t="shared" si="224"/>
        <v>Not Available</v>
      </c>
      <c r="H805" s="5" t="str">
        <f t="shared" ref="H805:H809" si="230">"Not Available"</f>
        <v>Not Available</v>
      </c>
      <c r="I805" s="5" t="s">
        <v>22</v>
      </c>
      <c r="J805" s="5" t="s">
        <v>3389</v>
      </c>
      <c r="K805" s="5" t="s">
        <v>3393</v>
      </c>
      <c r="L805" s="5" t="s">
        <v>22</v>
      </c>
      <c r="M805" s="5" t="s">
        <v>3539</v>
      </c>
      <c r="N805" s="5" t="s">
        <v>2853</v>
      </c>
      <c r="O805" s="5" t="s">
        <v>33</v>
      </c>
      <c r="P805" s="5" t="s">
        <v>26</v>
      </c>
      <c r="Q805" s="5" t="s">
        <v>34</v>
      </c>
      <c r="R805" s="5">
        <v>2215</v>
      </c>
      <c r="S805" s="5">
        <v>42.389586779706399</v>
      </c>
      <c r="T805" s="5">
        <v>-71.018147220000003</v>
      </c>
    </row>
    <row r="806" spans="1:20" x14ac:dyDescent="0.3">
      <c r="A806" s="5" t="s">
        <v>2854</v>
      </c>
      <c r="B806" s="6">
        <v>10998</v>
      </c>
      <c r="C806" s="6" t="str">
        <f t="shared" si="229"/>
        <v>Active/Unavailable</v>
      </c>
      <c r="D806" s="5" t="s">
        <v>29</v>
      </c>
      <c r="E806" s="5" t="s">
        <v>2245</v>
      </c>
      <c r="F806" s="5" t="s">
        <v>901</v>
      </c>
      <c r="G806" s="5" t="str">
        <f t="shared" si="224"/>
        <v>Not Available</v>
      </c>
      <c r="H806" s="5" t="str">
        <f t="shared" si="230"/>
        <v>Not Available</v>
      </c>
      <c r="I806" s="5" t="s">
        <v>22</v>
      </c>
      <c r="J806" s="5" t="s">
        <v>3389</v>
      </c>
      <c r="K806" s="5" t="s">
        <v>3393</v>
      </c>
      <c r="L806" s="5" t="s">
        <v>22</v>
      </c>
      <c r="M806" s="5" t="s">
        <v>3538</v>
      </c>
      <c r="N806" s="5" t="s">
        <v>2855</v>
      </c>
      <c r="O806" s="5" t="s">
        <v>33</v>
      </c>
      <c r="P806" s="5" t="s">
        <v>26</v>
      </c>
      <c r="Q806" s="5" t="s">
        <v>34</v>
      </c>
      <c r="R806" s="5">
        <v>2118</v>
      </c>
      <c r="S806" s="5">
        <v>42.359736825271902</v>
      </c>
      <c r="T806" s="5">
        <v>-71.071174189999994</v>
      </c>
    </row>
    <row r="807" spans="1:20" x14ac:dyDescent="0.3">
      <c r="A807" s="5" t="s">
        <v>2856</v>
      </c>
      <c r="B807" s="6">
        <v>29096</v>
      </c>
      <c r="C807" s="6" t="str">
        <f t="shared" si="229"/>
        <v>Active/Unavailable</v>
      </c>
      <c r="D807" s="5" t="s">
        <v>29</v>
      </c>
      <c r="E807" s="5" t="s">
        <v>2857</v>
      </c>
      <c r="F807" s="5" t="s">
        <v>217</v>
      </c>
      <c r="G807" s="5" t="str">
        <f t="shared" si="224"/>
        <v>Not Available</v>
      </c>
      <c r="H807" s="5" t="str">
        <f t="shared" si="230"/>
        <v>Not Available</v>
      </c>
      <c r="I807" s="5" t="s">
        <v>65</v>
      </c>
      <c r="J807" s="5" t="s">
        <v>3387</v>
      </c>
      <c r="K807" s="5" t="s">
        <v>3393</v>
      </c>
      <c r="L807" s="5" t="s">
        <v>22</v>
      </c>
      <c r="M807" s="5" t="s">
        <v>3569</v>
      </c>
      <c r="N807" s="5" t="s">
        <v>3712</v>
      </c>
      <c r="O807" s="5" t="s">
        <v>486</v>
      </c>
      <c r="P807" s="5" t="s">
        <v>26</v>
      </c>
      <c r="Q807" s="5" t="s">
        <v>34</v>
      </c>
      <c r="R807" s="5">
        <v>2128</v>
      </c>
      <c r="S807" s="5">
        <v>42.3943491045735</v>
      </c>
      <c r="T807" s="5">
        <v>-71.012414669999998</v>
      </c>
    </row>
    <row r="808" spans="1:20" x14ac:dyDescent="0.3">
      <c r="A808" s="5" t="s">
        <v>2858</v>
      </c>
      <c r="B808" s="6">
        <v>17628</v>
      </c>
      <c r="C808" s="6">
        <v>41030</v>
      </c>
      <c r="D808" s="5" t="s">
        <v>29</v>
      </c>
      <c r="E808" s="5" t="s">
        <v>2859</v>
      </c>
      <c r="F808" s="5" t="s">
        <v>2516</v>
      </c>
      <c r="G808" s="5" t="str">
        <f t="shared" si="224"/>
        <v>Not Available</v>
      </c>
      <c r="H808" s="5" t="str">
        <f t="shared" si="230"/>
        <v>Not Available</v>
      </c>
      <c r="I808" s="5" t="s">
        <v>22</v>
      </c>
      <c r="J808" s="5" t="s">
        <v>3387</v>
      </c>
      <c r="K808" s="5" t="s">
        <v>3393</v>
      </c>
      <c r="L808" s="5" t="s">
        <v>22</v>
      </c>
      <c r="M808" s="5" t="s">
        <v>3414</v>
      </c>
      <c r="N808" s="5" t="s">
        <v>2860</v>
      </c>
      <c r="O808" s="5" t="s">
        <v>88</v>
      </c>
      <c r="P808" s="5" t="s">
        <v>26</v>
      </c>
      <c r="Q808" s="5" t="s">
        <v>57</v>
      </c>
      <c r="R808" s="5" t="str">
        <f>"0000"</f>
        <v>0000</v>
      </c>
      <c r="S808" s="5">
        <v>42.403982915852502</v>
      </c>
      <c r="T808" s="5">
        <v>-71.088591940000001</v>
      </c>
    </row>
    <row r="809" spans="1:20" x14ac:dyDescent="0.3">
      <c r="A809" s="5" t="s">
        <v>2861</v>
      </c>
      <c r="B809" s="6">
        <v>21400</v>
      </c>
      <c r="C809" s="6" t="str">
        <f t="shared" ref="C809:C815" si="231">"Active/Unavailable"</f>
        <v>Active/Unavailable</v>
      </c>
      <c r="D809" s="5" t="s">
        <v>29</v>
      </c>
      <c r="E809" s="5" t="s">
        <v>1512</v>
      </c>
      <c r="F809" s="5" t="s">
        <v>1062</v>
      </c>
      <c r="G809" s="5" t="str">
        <f t="shared" ref="G809:G827" si="232">"Not Available"</f>
        <v>Not Available</v>
      </c>
      <c r="H809" s="5" t="str">
        <f t="shared" si="230"/>
        <v>Not Available</v>
      </c>
      <c r="I809" s="5" t="s">
        <v>22</v>
      </c>
      <c r="J809" s="5" t="s">
        <v>3387</v>
      </c>
      <c r="K809" s="5" t="s">
        <v>3393</v>
      </c>
      <c r="L809" s="5" t="s">
        <v>22</v>
      </c>
      <c r="M809" s="5" t="s">
        <v>3435</v>
      </c>
      <c r="N809" s="5" t="s">
        <v>2862</v>
      </c>
      <c r="O809" s="5" t="s">
        <v>316</v>
      </c>
      <c r="P809" s="5" t="s">
        <v>26</v>
      </c>
      <c r="Q809" s="5" t="s">
        <v>317</v>
      </c>
      <c r="R809" s="5">
        <v>2043</v>
      </c>
      <c r="S809" s="5">
        <v>42.250343504477897</v>
      </c>
      <c r="T809" s="5">
        <v>-70.856319959999993</v>
      </c>
    </row>
    <row r="810" spans="1:20" x14ac:dyDescent="0.3">
      <c r="A810" s="5" t="s">
        <v>2863</v>
      </c>
      <c r="B810" s="6">
        <v>33569</v>
      </c>
      <c r="C810" s="6" t="str">
        <f t="shared" si="231"/>
        <v>Active/Unavailable</v>
      </c>
      <c r="D810" s="5" t="s">
        <v>18</v>
      </c>
      <c r="E810" s="5" t="s">
        <v>2864</v>
      </c>
      <c r="F810" s="5" t="s">
        <v>367</v>
      </c>
      <c r="G810" s="5" t="str">
        <f t="shared" si="232"/>
        <v>Not Available</v>
      </c>
      <c r="H810" s="5" t="s">
        <v>605</v>
      </c>
      <c r="I810" s="5" t="s">
        <v>22</v>
      </c>
      <c r="J810" s="5" t="s">
        <v>3392</v>
      </c>
      <c r="K810" s="5" t="s">
        <v>3393</v>
      </c>
      <c r="L810" s="5" t="s">
        <v>23</v>
      </c>
      <c r="M810" s="5" t="s">
        <v>3464</v>
      </c>
      <c r="N810" s="5" t="s">
        <v>2865</v>
      </c>
      <c r="O810" s="5" t="s">
        <v>33</v>
      </c>
      <c r="P810" s="5" t="s">
        <v>26</v>
      </c>
      <c r="Q810" s="5" t="s">
        <v>34</v>
      </c>
      <c r="R810" s="5">
        <v>2199</v>
      </c>
      <c r="S810" s="5">
        <v>42.329475330561799</v>
      </c>
      <c r="T810" s="5">
        <v>-71.016449120000004</v>
      </c>
    </row>
    <row r="811" spans="1:20" x14ac:dyDescent="0.3">
      <c r="A811" s="5" t="s">
        <v>2866</v>
      </c>
      <c r="B811" s="6">
        <v>15437</v>
      </c>
      <c r="C811" s="6" t="str">
        <f t="shared" si="231"/>
        <v>Active/Unavailable</v>
      </c>
      <c r="D811" s="5" t="s">
        <v>29</v>
      </c>
      <c r="E811" s="5" t="s">
        <v>2270</v>
      </c>
      <c r="F811" s="5" t="s">
        <v>1610</v>
      </c>
      <c r="G811" s="5" t="str">
        <f t="shared" si="232"/>
        <v>Not Available</v>
      </c>
      <c r="H811" s="5" t="str">
        <f t="shared" ref="H811:H813" si="233">"Not Available"</f>
        <v>Not Available</v>
      </c>
      <c r="I811" s="5" t="s">
        <v>22</v>
      </c>
      <c r="J811" s="5" t="s">
        <v>3387</v>
      </c>
      <c r="K811" s="5" t="s">
        <v>3393</v>
      </c>
      <c r="L811" s="5" t="s">
        <v>22</v>
      </c>
      <c r="M811" s="5" t="s">
        <v>3656</v>
      </c>
      <c r="N811" s="5" t="s">
        <v>2867</v>
      </c>
      <c r="O811" s="5" t="s">
        <v>172</v>
      </c>
      <c r="P811" s="5" t="s">
        <v>26</v>
      </c>
      <c r="Q811" s="5" t="s">
        <v>34</v>
      </c>
      <c r="R811" s="5">
        <v>2149</v>
      </c>
      <c r="S811" s="5">
        <v>42.3919660081391</v>
      </c>
      <c r="T811" s="5">
        <v>-70.973944779999997</v>
      </c>
    </row>
    <row r="812" spans="1:20" x14ac:dyDescent="0.3">
      <c r="A812" s="5" t="s">
        <v>2868</v>
      </c>
      <c r="B812" s="6">
        <v>23132</v>
      </c>
      <c r="C812" s="6" t="str">
        <f t="shared" si="231"/>
        <v>Active/Unavailable</v>
      </c>
      <c r="D812" s="5" t="s">
        <v>100</v>
      </c>
      <c r="E812" s="5" t="s">
        <v>2869</v>
      </c>
      <c r="F812" s="5" t="s">
        <v>206</v>
      </c>
      <c r="G812" s="5" t="str">
        <f t="shared" si="232"/>
        <v>Not Available</v>
      </c>
      <c r="H812" s="5" t="str">
        <f t="shared" si="233"/>
        <v>Not Available</v>
      </c>
      <c r="I812" s="5" t="s">
        <v>65</v>
      </c>
      <c r="J812" s="5" t="s">
        <v>3387</v>
      </c>
      <c r="K812" s="5" t="s">
        <v>3393</v>
      </c>
      <c r="L812" s="5" t="s">
        <v>23</v>
      </c>
      <c r="M812" s="5" t="s">
        <v>3669</v>
      </c>
      <c r="N812" s="5" t="s">
        <v>2870</v>
      </c>
      <c r="O812" s="5" t="s">
        <v>33</v>
      </c>
      <c r="P812" s="5" t="s">
        <v>26</v>
      </c>
      <c r="Q812" s="5" t="s">
        <v>34</v>
      </c>
      <c r="R812" s="5">
        <v>2121</v>
      </c>
      <c r="S812" s="5">
        <v>42.349232652475898</v>
      </c>
      <c r="T812" s="5">
        <v>-71.011119559999997</v>
      </c>
    </row>
    <row r="813" spans="1:20" x14ac:dyDescent="0.3">
      <c r="A813" s="5" t="s">
        <v>2871</v>
      </c>
      <c r="B813" s="6">
        <v>21379</v>
      </c>
      <c r="C813" s="6" t="str">
        <f t="shared" si="231"/>
        <v>Active/Unavailable</v>
      </c>
      <c r="D813" s="5" t="s">
        <v>29</v>
      </c>
      <c r="E813" s="5" t="s">
        <v>2872</v>
      </c>
      <c r="F813" s="5" t="s">
        <v>2873</v>
      </c>
      <c r="G813" s="5" t="str">
        <f t="shared" si="232"/>
        <v>Not Available</v>
      </c>
      <c r="H813" s="5" t="str">
        <f t="shared" si="233"/>
        <v>Not Available</v>
      </c>
      <c r="I813" s="5" t="s">
        <v>22</v>
      </c>
      <c r="J813" s="5" t="s">
        <v>3387</v>
      </c>
      <c r="K813" s="5" t="s">
        <v>3394</v>
      </c>
      <c r="L813" s="5" t="s">
        <v>22</v>
      </c>
      <c r="M813" s="5" t="s">
        <v>3519</v>
      </c>
      <c r="N813" s="5" t="s">
        <v>2874</v>
      </c>
      <c r="O813" s="5" t="s">
        <v>33</v>
      </c>
      <c r="P813" s="5" t="s">
        <v>26</v>
      </c>
      <c r="Q813" s="5" t="s">
        <v>34</v>
      </c>
      <c r="R813" s="5">
        <v>2134</v>
      </c>
      <c r="S813" s="5">
        <v>42.324106000818503</v>
      </c>
      <c r="T813" s="5">
        <v>-70.953437679999993</v>
      </c>
    </row>
    <row r="814" spans="1:20" x14ac:dyDescent="0.3">
      <c r="A814" s="5" t="s">
        <v>2875</v>
      </c>
      <c r="B814" s="6">
        <v>10866</v>
      </c>
      <c r="C814" s="6" t="str">
        <f t="shared" si="231"/>
        <v>Active/Unavailable</v>
      </c>
      <c r="D814" s="5" t="s">
        <v>18</v>
      </c>
      <c r="E814" s="5" t="s">
        <v>2876</v>
      </c>
      <c r="F814" s="5" t="s">
        <v>3381</v>
      </c>
      <c r="G814" s="5" t="str">
        <f t="shared" si="232"/>
        <v>Not Available</v>
      </c>
      <c r="H814" s="5" t="s">
        <v>2877</v>
      </c>
      <c r="I814" s="5" t="s">
        <v>22</v>
      </c>
      <c r="J814" s="5" t="s">
        <v>3388</v>
      </c>
      <c r="K814" s="5" t="s">
        <v>3394</v>
      </c>
      <c r="L814" s="5" t="s">
        <v>23</v>
      </c>
      <c r="M814" s="5" t="s">
        <v>3670</v>
      </c>
      <c r="N814" s="5" t="s">
        <v>2878</v>
      </c>
      <c r="O814" s="5" t="s">
        <v>33</v>
      </c>
      <c r="P814" s="5" t="s">
        <v>26</v>
      </c>
      <c r="Q814" s="5" t="s">
        <v>34</v>
      </c>
      <c r="R814" s="5">
        <v>2134</v>
      </c>
      <c r="S814" s="5">
        <v>42.342868275295402</v>
      </c>
      <c r="T814" s="5">
        <v>-71.080567180000003</v>
      </c>
    </row>
    <row r="815" spans="1:20" x14ac:dyDescent="0.3">
      <c r="A815" s="5" t="s">
        <v>2879</v>
      </c>
      <c r="B815" s="6">
        <v>33220</v>
      </c>
      <c r="C815" s="6" t="str">
        <f t="shared" si="231"/>
        <v>Active/Unavailable</v>
      </c>
      <c r="D815" s="5" t="s">
        <v>29</v>
      </c>
      <c r="E815" s="5" t="s">
        <v>2880</v>
      </c>
      <c r="F815" s="5" t="s">
        <v>3379</v>
      </c>
      <c r="G815" s="5" t="str">
        <f t="shared" si="232"/>
        <v>Not Available</v>
      </c>
      <c r="H815" s="5" t="str">
        <f>"Not Available"</f>
        <v>Not Available</v>
      </c>
      <c r="I815" s="5" t="s">
        <v>22</v>
      </c>
      <c r="J815" s="5" t="s">
        <v>3389</v>
      </c>
      <c r="K815" s="5" t="s">
        <v>3394</v>
      </c>
      <c r="L815" s="5" t="s">
        <v>22</v>
      </c>
      <c r="M815" s="5" t="s">
        <v>3484</v>
      </c>
      <c r="N815" s="5" t="s">
        <v>2881</v>
      </c>
      <c r="O815" s="5" t="s">
        <v>33</v>
      </c>
      <c r="P815" s="5" t="s">
        <v>26</v>
      </c>
      <c r="Q815" s="5" t="s">
        <v>34</v>
      </c>
      <c r="R815" s="5">
        <v>2124</v>
      </c>
      <c r="S815" s="5">
        <v>42.323081797748202</v>
      </c>
      <c r="T815" s="5">
        <v>-71.052131320000001</v>
      </c>
    </row>
    <row r="816" spans="1:20" x14ac:dyDescent="0.3">
      <c r="A816" s="5" t="s">
        <v>2882</v>
      </c>
      <c r="B816" s="6">
        <v>11243</v>
      </c>
      <c r="C816" s="6">
        <v>42941</v>
      </c>
      <c r="D816" s="5" t="s">
        <v>18</v>
      </c>
      <c r="E816" s="5" t="s">
        <v>2883</v>
      </c>
      <c r="F816" s="5" t="s">
        <v>1319</v>
      </c>
      <c r="G816" s="5" t="str">
        <f t="shared" si="232"/>
        <v>Not Available</v>
      </c>
      <c r="H816" s="5" t="s">
        <v>702</v>
      </c>
      <c r="I816" s="5" t="s">
        <v>22</v>
      </c>
      <c r="J816" s="5" t="s">
        <v>3387</v>
      </c>
      <c r="K816" s="5" t="s">
        <v>3393</v>
      </c>
      <c r="L816" s="5" t="s">
        <v>23</v>
      </c>
      <c r="M816" s="5" t="s">
        <v>3464</v>
      </c>
      <c r="N816" s="5" t="s">
        <v>2884</v>
      </c>
      <c r="O816" s="5" t="s">
        <v>574</v>
      </c>
      <c r="P816" s="5" t="s">
        <v>26</v>
      </c>
      <c r="Q816" s="5" t="s">
        <v>27</v>
      </c>
      <c r="R816" s="5">
        <v>2446</v>
      </c>
      <c r="S816" s="5">
        <v>42.329306170445598</v>
      </c>
      <c r="T816" s="5">
        <v>-71.126204389999998</v>
      </c>
    </row>
    <row r="817" spans="1:20" x14ac:dyDescent="0.3">
      <c r="A817" s="5" t="s">
        <v>2885</v>
      </c>
      <c r="B817" s="6">
        <v>21759</v>
      </c>
      <c r="C817" s="6" t="str">
        <f t="shared" ref="C817:C821" si="234">"Active/Unavailable"</f>
        <v>Active/Unavailable</v>
      </c>
      <c r="D817" s="5" t="s">
        <v>18</v>
      </c>
      <c r="E817" s="5" t="s">
        <v>2886</v>
      </c>
      <c r="F817" s="5" t="s">
        <v>593</v>
      </c>
      <c r="G817" s="5" t="str">
        <f t="shared" si="232"/>
        <v>Not Available</v>
      </c>
      <c r="H817" s="5" t="s">
        <v>568</v>
      </c>
      <c r="I817" s="5" t="s">
        <v>22</v>
      </c>
      <c r="J817" s="5" t="s">
        <v>3387</v>
      </c>
      <c r="K817" s="5" t="s">
        <v>3393</v>
      </c>
      <c r="L817" s="5" t="s">
        <v>23</v>
      </c>
      <c r="M817" s="5" t="s">
        <v>3408</v>
      </c>
      <c r="N817" s="5" t="s">
        <v>2887</v>
      </c>
      <c r="O817" s="5" t="s">
        <v>25</v>
      </c>
      <c r="P817" s="5" t="s">
        <v>26</v>
      </c>
      <c r="Q817" s="5" t="s">
        <v>27</v>
      </c>
      <c r="R817" s="5" t="str">
        <f>"0000"</f>
        <v>0000</v>
      </c>
      <c r="S817" s="5">
        <v>42.280818381113903</v>
      </c>
      <c r="T817" s="5">
        <v>-71.042198049999996</v>
      </c>
    </row>
    <row r="818" spans="1:20" x14ac:dyDescent="0.3">
      <c r="A818" s="5" t="s">
        <v>2888</v>
      </c>
      <c r="B818" s="6">
        <v>13965</v>
      </c>
      <c r="C818" s="6" t="str">
        <f t="shared" si="234"/>
        <v>Active/Unavailable</v>
      </c>
      <c r="D818" s="5" t="s">
        <v>100</v>
      </c>
      <c r="E818" s="5" t="s">
        <v>2889</v>
      </c>
      <c r="F818" s="5" t="s">
        <v>1311</v>
      </c>
      <c r="G818" s="5" t="str">
        <f t="shared" si="232"/>
        <v>Not Available</v>
      </c>
      <c r="H818" s="5" t="str">
        <f t="shared" ref="H818:H825" si="235">"Not Available"</f>
        <v>Not Available</v>
      </c>
      <c r="I818" s="5" t="s">
        <v>65</v>
      </c>
      <c r="J818" s="5" t="s">
        <v>3387</v>
      </c>
      <c r="K818" s="5" t="s">
        <v>3393</v>
      </c>
      <c r="L818" s="5" t="s">
        <v>23</v>
      </c>
      <c r="M818" s="5" t="s">
        <v>3478</v>
      </c>
      <c r="N818" s="5" t="s">
        <v>2890</v>
      </c>
      <c r="O818" s="5" t="s">
        <v>88</v>
      </c>
      <c r="P818" s="5" t="s">
        <v>26</v>
      </c>
      <c r="Q818" s="5" t="s">
        <v>57</v>
      </c>
      <c r="R818" s="5">
        <v>2140</v>
      </c>
      <c r="S818" s="5">
        <v>42.3426100260399</v>
      </c>
      <c r="T818" s="5">
        <v>-71.053540080000005</v>
      </c>
    </row>
    <row r="819" spans="1:20" x14ac:dyDescent="0.3">
      <c r="A819" s="5" t="s">
        <v>2891</v>
      </c>
      <c r="B819" s="6">
        <v>14702</v>
      </c>
      <c r="C819" s="6" t="str">
        <f t="shared" si="234"/>
        <v>Active/Unavailable</v>
      </c>
      <c r="D819" s="5" t="s">
        <v>29</v>
      </c>
      <c r="E819" s="5" t="s">
        <v>2892</v>
      </c>
      <c r="F819" s="5" t="s">
        <v>282</v>
      </c>
      <c r="G819" s="5" t="str">
        <f t="shared" si="232"/>
        <v>Not Available</v>
      </c>
      <c r="H819" s="5" t="str">
        <f t="shared" si="235"/>
        <v>Not Available</v>
      </c>
      <c r="I819" s="5" t="s">
        <v>22</v>
      </c>
      <c r="J819" s="5" t="s">
        <v>3387</v>
      </c>
      <c r="K819" s="5" t="s">
        <v>3394</v>
      </c>
      <c r="L819" s="5" t="s">
        <v>22</v>
      </c>
      <c r="M819" s="5" t="s">
        <v>3542</v>
      </c>
      <c r="N819" s="5" t="s">
        <v>3713</v>
      </c>
      <c r="O819" s="5" t="s">
        <v>33</v>
      </c>
      <c r="P819" s="5" t="s">
        <v>26</v>
      </c>
      <c r="Q819" s="5" t="s">
        <v>34</v>
      </c>
      <c r="R819" s="5">
        <v>2467</v>
      </c>
      <c r="S819" s="5">
        <v>42.296723549543103</v>
      </c>
      <c r="T819" s="5">
        <v>-71.061470880000002</v>
      </c>
    </row>
    <row r="820" spans="1:20" x14ac:dyDescent="0.3">
      <c r="A820" s="5" t="s">
        <v>2893</v>
      </c>
      <c r="B820" s="6">
        <v>12424</v>
      </c>
      <c r="C820" s="6" t="str">
        <f t="shared" si="234"/>
        <v>Active/Unavailable</v>
      </c>
      <c r="D820" s="5" t="s">
        <v>29</v>
      </c>
      <c r="E820" s="5" t="s">
        <v>2894</v>
      </c>
      <c r="F820" s="5" t="s">
        <v>1677</v>
      </c>
      <c r="G820" s="5" t="str">
        <f t="shared" si="232"/>
        <v>Not Available</v>
      </c>
      <c r="H820" s="5" t="str">
        <f t="shared" si="235"/>
        <v>Not Available</v>
      </c>
      <c r="I820" s="5" t="s">
        <v>22</v>
      </c>
      <c r="J820" s="5" t="s">
        <v>3387</v>
      </c>
      <c r="K820" s="5" t="s">
        <v>3393</v>
      </c>
      <c r="L820" s="5" t="s">
        <v>22</v>
      </c>
      <c r="M820" s="5" t="s">
        <v>3405</v>
      </c>
      <c r="N820" s="5" t="s">
        <v>2895</v>
      </c>
      <c r="O820" s="5" t="s">
        <v>33</v>
      </c>
      <c r="P820" s="5" t="s">
        <v>26</v>
      </c>
      <c r="Q820" s="5" t="s">
        <v>34</v>
      </c>
      <c r="R820" s="5">
        <v>2210</v>
      </c>
      <c r="S820" s="5">
        <v>42.382083934621001</v>
      </c>
      <c r="T820" s="5">
        <v>-71.046159070000002</v>
      </c>
    </row>
    <row r="821" spans="1:20" x14ac:dyDescent="0.3">
      <c r="A821" s="5" t="s">
        <v>2896</v>
      </c>
      <c r="B821" s="6">
        <v>9736</v>
      </c>
      <c r="C821" s="6" t="str">
        <f t="shared" si="234"/>
        <v>Active/Unavailable</v>
      </c>
      <c r="D821" s="5" t="s">
        <v>100</v>
      </c>
      <c r="E821" s="5" t="s">
        <v>2897</v>
      </c>
      <c r="F821" s="5" t="s">
        <v>106</v>
      </c>
      <c r="G821" s="5" t="str">
        <f t="shared" si="232"/>
        <v>Not Available</v>
      </c>
      <c r="H821" s="5" t="str">
        <f t="shared" si="235"/>
        <v>Not Available</v>
      </c>
      <c r="I821" s="5" t="s">
        <v>65</v>
      </c>
      <c r="J821" s="5" t="s">
        <v>3387</v>
      </c>
      <c r="K821" s="5" t="s">
        <v>3393</v>
      </c>
      <c r="L821" s="5" t="s">
        <v>23</v>
      </c>
      <c r="M821" s="5" t="s">
        <v>3599</v>
      </c>
      <c r="N821" s="5" t="s">
        <v>2898</v>
      </c>
      <c r="O821" s="5" t="s">
        <v>145</v>
      </c>
      <c r="P821" s="5" t="s">
        <v>26</v>
      </c>
      <c r="Q821" s="5" t="s">
        <v>57</v>
      </c>
      <c r="R821" s="5">
        <v>2149</v>
      </c>
      <c r="S821" s="5">
        <v>42.392428150654197</v>
      </c>
      <c r="T821" s="5">
        <v>-71.029417980000005</v>
      </c>
    </row>
    <row r="822" spans="1:20" x14ac:dyDescent="0.3">
      <c r="A822" s="5" t="s">
        <v>2899</v>
      </c>
      <c r="B822" s="6">
        <v>11351</v>
      </c>
      <c r="C822" s="6">
        <v>41681</v>
      </c>
      <c r="D822" s="5" t="s">
        <v>29</v>
      </c>
      <c r="E822" s="5" t="s">
        <v>2900</v>
      </c>
      <c r="F822" s="5" t="s">
        <v>1165</v>
      </c>
      <c r="G822" s="5" t="str">
        <f t="shared" si="232"/>
        <v>Not Available</v>
      </c>
      <c r="H822" s="5" t="str">
        <f t="shared" si="235"/>
        <v>Not Available</v>
      </c>
      <c r="I822" s="5" t="s">
        <v>22</v>
      </c>
      <c r="J822" s="5" t="s">
        <v>3388</v>
      </c>
      <c r="K822" s="5" t="s">
        <v>3393</v>
      </c>
      <c r="L822" s="5" t="s">
        <v>22</v>
      </c>
      <c r="M822" s="5" t="s">
        <v>3520</v>
      </c>
      <c r="N822" s="5" t="s">
        <v>2901</v>
      </c>
      <c r="O822" s="5" t="s">
        <v>33</v>
      </c>
      <c r="P822" s="5" t="s">
        <v>26</v>
      </c>
      <c r="Q822" s="5" t="s">
        <v>34</v>
      </c>
      <c r="R822" s="5">
        <v>2210</v>
      </c>
      <c r="S822" s="5">
        <v>42.3215683423401</v>
      </c>
      <c r="T822" s="5">
        <v>-71.115689880000005</v>
      </c>
    </row>
    <row r="823" spans="1:20" x14ac:dyDescent="0.3">
      <c r="A823" s="5" t="s">
        <v>2902</v>
      </c>
      <c r="B823" s="6">
        <v>11885</v>
      </c>
      <c r="C823" s="6" t="str">
        <f t="shared" ref="C823:C837" si="236">"Active/Unavailable"</f>
        <v>Active/Unavailable</v>
      </c>
      <c r="D823" s="5" t="s">
        <v>29</v>
      </c>
      <c r="E823" s="5" t="s">
        <v>2903</v>
      </c>
      <c r="F823" s="5" t="s">
        <v>1375</v>
      </c>
      <c r="G823" s="5" t="str">
        <f t="shared" si="232"/>
        <v>Not Available</v>
      </c>
      <c r="H823" s="5" t="str">
        <f t="shared" si="235"/>
        <v>Not Available</v>
      </c>
      <c r="I823" s="5" t="s">
        <v>22</v>
      </c>
      <c r="J823" s="5" t="s">
        <v>3387</v>
      </c>
      <c r="K823" s="5" t="s">
        <v>3393</v>
      </c>
      <c r="L823" s="5" t="s">
        <v>22</v>
      </c>
      <c r="M823" s="5" t="s">
        <v>3492</v>
      </c>
      <c r="N823" s="5" t="s">
        <v>2904</v>
      </c>
      <c r="O823" s="5" t="s">
        <v>316</v>
      </c>
      <c r="P823" s="5" t="s">
        <v>26</v>
      </c>
      <c r="Q823" s="5" t="s">
        <v>317</v>
      </c>
      <c r="R823" s="5" t="str">
        <f>"0000"</f>
        <v>0000</v>
      </c>
      <c r="S823" s="5">
        <v>42.2489379901413</v>
      </c>
      <c r="T823" s="5">
        <v>-70.840697219999996</v>
      </c>
    </row>
    <row r="824" spans="1:20" x14ac:dyDescent="0.3">
      <c r="A824" s="5" t="s">
        <v>2905</v>
      </c>
      <c r="B824" s="6">
        <v>29487</v>
      </c>
      <c r="C824" s="6" t="str">
        <f t="shared" si="236"/>
        <v>Active/Unavailable</v>
      </c>
      <c r="D824" s="5" t="s">
        <v>29</v>
      </c>
      <c r="E824" s="5" t="s">
        <v>2906</v>
      </c>
      <c r="F824" s="5" t="s">
        <v>1187</v>
      </c>
      <c r="G824" s="5" t="str">
        <f t="shared" si="232"/>
        <v>Not Available</v>
      </c>
      <c r="H824" s="5" t="str">
        <f t="shared" si="235"/>
        <v>Not Available</v>
      </c>
      <c r="I824" s="5" t="s">
        <v>22</v>
      </c>
      <c r="J824" s="5" t="s">
        <v>3387</v>
      </c>
      <c r="K824" s="5" t="s">
        <v>3393</v>
      </c>
      <c r="L824" s="5" t="s">
        <v>22</v>
      </c>
      <c r="M824" s="5" t="s">
        <v>3486</v>
      </c>
      <c r="N824" s="5" t="s">
        <v>2907</v>
      </c>
      <c r="O824" s="5" t="s">
        <v>25</v>
      </c>
      <c r="P824" s="5" t="s">
        <v>26</v>
      </c>
      <c r="Q824" s="5" t="s">
        <v>27</v>
      </c>
      <c r="R824" s="5">
        <v>2169</v>
      </c>
      <c r="S824" s="5">
        <v>42.287672090618102</v>
      </c>
      <c r="T824" s="5">
        <v>-71.022882850000002</v>
      </c>
    </row>
    <row r="825" spans="1:20" x14ac:dyDescent="0.3">
      <c r="A825" s="5" t="s">
        <v>2908</v>
      </c>
      <c r="B825" s="6">
        <v>18790</v>
      </c>
      <c r="C825" s="6" t="str">
        <f t="shared" si="236"/>
        <v>Active/Unavailable</v>
      </c>
      <c r="D825" s="5" t="s">
        <v>29</v>
      </c>
      <c r="E825" s="5" t="s">
        <v>312</v>
      </c>
      <c r="F825" s="5" t="s">
        <v>2258</v>
      </c>
      <c r="G825" s="5" t="str">
        <f t="shared" si="232"/>
        <v>Not Available</v>
      </c>
      <c r="H825" s="5" t="str">
        <f t="shared" si="235"/>
        <v>Not Available</v>
      </c>
      <c r="I825" s="5" t="s">
        <v>22</v>
      </c>
      <c r="J825" s="5" t="s">
        <v>3389</v>
      </c>
      <c r="K825" s="5" t="s">
        <v>3393</v>
      </c>
      <c r="L825" s="5" t="s">
        <v>22</v>
      </c>
      <c r="M825" s="5" t="s">
        <v>3400</v>
      </c>
      <c r="N825" s="5" t="s">
        <v>2909</v>
      </c>
      <c r="O825" s="5" t="s">
        <v>33</v>
      </c>
      <c r="P825" s="5" t="s">
        <v>26</v>
      </c>
      <c r="Q825" s="5" t="s">
        <v>34</v>
      </c>
      <c r="R825" s="5">
        <v>2115</v>
      </c>
      <c r="S825" s="5">
        <v>42.306850780011402</v>
      </c>
      <c r="T825" s="5">
        <v>-71.057876289999996</v>
      </c>
    </row>
    <row r="826" spans="1:20" x14ac:dyDescent="0.3">
      <c r="A826" s="5" t="s">
        <v>2910</v>
      </c>
      <c r="B826" s="6">
        <v>17511</v>
      </c>
      <c r="C826" s="6" t="str">
        <f t="shared" si="236"/>
        <v>Active/Unavailable</v>
      </c>
      <c r="D826" s="5" t="s">
        <v>18</v>
      </c>
      <c r="E826" s="5" t="s">
        <v>2911</v>
      </c>
      <c r="F826" s="5" t="s">
        <v>328</v>
      </c>
      <c r="G826" s="5" t="str">
        <f t="shared" si="232"/>
        <v>Not Available</v>
      </c>
      <c r="H826" s="5" t="s">
        <v>2147</v>
      </c>
      <c r="I826" s="5" t="s">
        <v>22</v>
      </c>
      <c r="J826" s="5" t="s">
        <v>3387</v>
      </c>
      <c r="K826" s="5" t="s">
        <v>3393</v>
      </c>
      <c r="L826" s="5" t="s">
        <v>23</v>
      </c>
      <c r="M826" s="5" t="s">
        <v>3671</v>
      </c>
      <c r="N826" s="5" t="s">
        <v>2912</v>
      </c>
      <c r="O826" s="5" t="s">
        <v>33</v>
      </c>
      <c r="P826" s="5" t="s">
        <v>26</v>
      </c>
      <c r="Q826" s="5" t="s">
        <v>34</v>
      </c>
      <c r="R826" s="5">
        <v>2115</v>
      </c>
      <c r="S826" s="5">
        <v>42.313842559999998</v>
      </c>
      <c r="T826" s="5">
        <v>-71.046745799999997</v>
      </c>
    </row>
    <row r="827" spans="1:20" x14ac:dyDescent="0.3">
      <c r="A827" s="5" t="s">
        <v>2913</v>
      </c>
      <c r="B827" s="6">
        <v>20527</v>
      </c>
      <c r="C827" s="6" t="str">
        <f t="shared" si="236"/>
        <v>Active/Unavailable</v>
      </c>
      <c r="D827" s="5" t="s">
        <v>18</v>
      </c>
      <c r="E827" s="5" t="s">
        <v>2914</v>
      </c>
      <c r="F827" s="5" t="s">
        <v>222</v>
      </c>
      <c r="G827" s="5" t="str">
        <f t="shared" si="232"/>
        <v>Not Available</v>
      </c>
      <c r="H827" s="5" t="s">
        <v>82</v>
      </c>
      <c r="I827" s="5" t="s">
        <v>22</v>
      </c>
      <c r="J827" s="5" t="s">
        <v>3389</v>
      </c>
      <c r="K827" s="5" t="s">
        <v>3393</v>
      </c>
      <c r="L827" s="5" t="s">
        <v>23</v>
      </c>
      <c r="M827" s="5" t="s">
        <v>3412</v>
      </c>
      <c r="N827" s="5" t="s">
        <v>2915</v>
      </c>
      <c r="O827" s="5" t="s">
        <v>33</v>
      </c>
      <c r="P827" s="5" t="s">
        <v>26</v>
      </c>
      <c r="Q827" s="5" t="s">
        <v>34</v>
      </c>
      <c r="R827" s="5">
        <v>2467</v>
      </c>
      <c r="S827" s="5">
        <v>42.341850066851599</v>
      </c>
      <c r="T827" s="5">
        <v>-70.993644599999996</v>
      </c>
    </row>
    <row r="828" spans="1:20" x14ac:dyDescent="0.3">
      <c r="A828" s="5" t="s">
        <v>2916</v>
      </c>
      <c r="B828" s="6">
        <v>15961</v>
      </c>
      <c r="C828" s="6" t="str">
        <f t="shared" si="236"/>
        <v>Active/Unavailable</v>
      </c>
      <c r="D828" s="5" t="s">
        <v>29</v>
      </c>
      <c r="E828" s="5" t="s">
        <v>1515</v>
      </c>
      <c r="F828" s="5" t="s">
        <v>866</v>
      </c>
      <c r="G828" s="5" t="s">
        <v>314</v>
      </c>
      <c r="H828" s="5" t="str">
        <f>"Not Available"</f>
        <v>Not Available</v>
      </c>
      <c r="I828" s="5" t="s">
        <v>22</v>
      </c>
      <c r="J828" s="5" t="s">
        <v>3387</v>
      </c>
      <c r="K828" s="5" t="s">
        <v>3394</v>
      </c>
      <c r="L828" s="5" t="s">
        <v>22</v>
      </c>
      <c r="M828" s="5" t="s">
        <v>3400</v>
      </c>
      <c r="N828" s="5" t="s">
        <v>2917</v>
      </c>
      <c r="O828" s="5" t="s">
        <v>33</v>
      </c>
      <c r="P828" s="5" t="s">
        <v>26</v>
      </c>
      <c r="Q828" s="5" t="s">
        <v>34</v>
      </c>
      <c r="R828" s="5">
        <v>2125</v>
      </c>
      <c r="S828" s="5">
        <v>42.358254295232101</v>
      </c>
      <c r="T828" s="5">
        <v>-71.024394630000003</v>
      </c>
    </row>
    <row r="829" spans="1:20" x14ac:dyDescent="0.3">
      <c r="A829" s="5" t="s">
        <v>2918</v>
      </c>
      <c r="B829" s="6">
        <v>22269</v>
      </c>
      <c r="C829" s="6" t="str">
        <f t="shared" si="236"/>
        <v>Active/Unavailable</v>
      </c>
      <c r="D829" s="5" t="s">
        <v>18</v>
      </c>
      <c r="E829" s="5" t="s">
        <v>1032</v>
      </c>
      <c r="F829" s="5" t="s">
        <v>3382</v>
      </c>
      <c r="G829" s="5" t="str">
        <f t="shared" ref="G829:G840" si="237">"Not Available"</f>
        <v>Not Available</v>
      </c>
      <c r="H829" s="5" t="s">
        <v>2919</v>
      </c>
      <c r="I829" s="5" t="s">
        <v>22</v>
      </c>
      <c r="J829" s="5" t="s">
        <v>3389</v>
      </c>
      <c r="K829" s="5" t="s">
        <v>3394</v>
      </c>
      <c r="L829" s="5" t="s">
        <v>23</v>
      </c>
      <c r="M829" s="5" t="s">
        <v>3504</v>
      </c>
      <c r="N829" s="5" t="s">
        <v>2920</v>
      </c>
      <c r="O829" s="5" t="s">
        <v>33</v>
      </c>
      <c r="P829" s="5" t="s">
        <v>26</v>
      </c>
      <c r="Q829" s="5" t="s">
        <v>34</v>
      </c>
      <c r="R829" s="5">
        <v>2113</v>
      </c>
      <c r="S829" s="5">
        <v>42.3808650267056</v>
      </c>
      <c r="T829" s="5">
        <v>-71.094603849999999</v>
      </c>
    </row>
    <row r="830" spans="1:20" x14ac:dyDescent="0.3">
      <c r="A830" s="5" t="s">
        <v>2921</v>
      </c>
      <c r="B830" s="6">
        <v>29294</v>
      </c>
      <c r="C830" s="6" t="str">
        <f t="shared" si="236"/>
        <v>Active/Unavailable</v>
      </c>
      <c r="D830" s="5" t="s">
        <v>18</v>
      </c>
      <c r="E830" s="5" t="s">
        <v>2922</v>
      </c>
      <c r="F830" s="5" t="s">
        <v>2370</v>
      </c>
      <c r="G830" s="5" t="str">
        <f t="shared" si="237"/>
        <v>Not Available</v>
      </c>
      <c r="H830" s="5" t="s">
        <v>2923</v>
      </c>
      <c r="I830" s="5" t="s">
        <v>22</v>
      </c>
      <c r="J830" s="5" t="s">
        <v>3388</v>
      </c>
      <c r="K830" s="5" t="s">
        <v>3393</v>
      </c>
      <c r="L830" s="5" t="s">
        <v>23</v>
      </c>
      <c r="M830" s="5" t="s">
        <v>3400</v>
      </c>
      <c r="N830" s="5" t="s">
        <v>2924</v>
      </c>
      <c r="O830" s="5" t="s">
        <v>486</v>
      </c>
      <c r="P830" s="5" t="s">
        <v>26</v>
      </c>
      <c r="Q830" s="5" t="s">
        <v>34</v>
      </c>
      <c r="R830" s="5">
        <v>2152</v>
      </c>
      <c r="S830" s="5">
        <v>42.385369845631303</v>
      </c>
      <c r="T830" s="5">
        <v>-71.03790841</v>
      </c>
    </row>
    <row r="831" spans="1:20" x14ac:dyDescent="0.3">
      <c r="A831" s="5" t="s">
        <v>2925</v>
      </c>
      <c r="B831" s="6">
        <v>23997</v>
      </c>
      <c r="C831" s="6" t="str">
        <f t="shared" si="236"/>
        <v>Active/Unavailable</v>
      </c>
      <c r="D831" s="5" t="s">
        <v>18</v>
      </c>
      <c r="E831" s="5" t="s">
        <v>2926</v>
      </c>
      <c r="F831" s="5" t="s">
        <v>397</v>
      </c>
      <c r="G831" s="5" t="str">
        <f t="shared" si="237"/>
        <v>Not Available</v>
      </c>
      <c r="H831" s="5" t="s">
        <v>2097</v>
      </c>
      <c r="I831" s="5" t="s">
        <v>22</v>
      </c>
      <c r="J831" s="5" t="s">
        <v>3389</v>
      </c>
      <c r="K831" s="5" t="s">
        <v>3393</v>
      </c>
      <c r="L831" s="5" t="s">
        <v>23</v>
      </c>
      <c r="M831" s="5" t="s">
        <v>3633</v>
      </c>
      <c r="N831" s="5" t="s">
        <v>2927</v>
      </c>
      <c r="O831" s="5" t="s">
        <v>33</v>
      </c>
      <c r="P831" s="5" t="s">
        <v>26</v>
      </c>
      <c r="Q831" s="5" t="s">
        <v>34</v>
      </c>
      <c r="R831" s="5">
        <v>2119</v>
      </c>
      <c r="S831" s="5">
        <v>42.314336021390098</v>
      </c>
      <c r="T831" s="5">
        <v>-71.059986260000002</v>
      </c>
    </row>
    <row r="832" spans="1:20" x14ac:dyDescent="0.3">
      <c r="A832" s="5" t="s">
        <v>2928</v>
      </c>
      <c r="B832" s="6">
        <v>8431</v>
      </c>
      <c r="C832" s="6" t="str">
        <f t="shared" si="236"/>
        <v>Active/Unavailable</v>
      </c>
      <c r="D832" s="5" t="s">
        <v>29</v>
      </c>
      <c r="E832" s="5" t="s">
        <v>2929</v>
      </c>
      <c r="F832" s="5" t="s">
        <v>352</v>
      </c>
      <c r="G832" s="5" t="str">
        <f t="shared" si="237"/>
        <v>Not Available</v>
      </c>
      <c r="H832" s="5" t="str">
        <f t="shared" ref="H832:H836" si="238">"Not Available"</f>
        <v>Not Available</v>
      </c>
      <c r="I832" s="5" t="s">
        <v>22</v>
      </c>
      <c r="J832" s="5" t="s">
        <v>3387</v>
      </c>
      <c r="K832" s="5" t="s">
        <v>3394</v>
      </c>
      <c r="L832" s="5" t="s">
        <v>22</v>
      </c>
      <c r="M832" s="5" t="s">
        <v>3447</v>
      </c>
      <c r="N832" s="5" t="s">
        <v>2930</v>
      </c>
      <c r="O832" s="5" t="s">
        <v>33</v>
      </c>
      <c r="P832" s="5" t="s">
        <v>26</v>
      </c>
      <c r="Q832" s="5" t="s">
        <v>34</v>
      </c>
      <c r="R832" s="5">
        <v>2152</v>
      </c>
      <c r="S832" s="5">
        <v>42.369211377270197</v>
      </c>
      <c r="T832" s="5">
        <v>-71.042676720000003</v>
      </c>
    </row>
    <row r="833" spans="1:20" x14ac:dyDescent="0.3">
      <c r="A833" s="5" t="s">
        <v>2931</v>
      </c>
      <c r="B833" s="6">
        <v>20532</v>
      </c>
      <c r="C833" s="6" t="str">
        <f t="shared" si="236"/>
        <v>Active/Unavailable</v>
      </c>
      <c r="D833" s="5" t="s">
        <v>29</v>
      </c>
      <c r="E833" s="5" t="s">
        <v>2932</v>
      </c>
      <c r="F833" s="5" t="s">
        <v>993</v>
      </c>
      <c r="G833" s="5" t="str">
        <f t="shared" si="237"/>
        <v>Not Available</v>
      </c>
      <c r="H833" s="5" t="str">
        <f t="shared" si="238"/>
        <v>Not Available</v>
      </c>
      <c r="I833" s="5" t="s">
        <v>22</v>
      </c>
      <c r="J833" s="5" t="s">
        <v>3387</v>
      </c>
      <c r="K833" s="5" t="s">
        <v>3393</v>
      </c>
      <c r="L833" s="5" t="s">
        <v>22</v>
      </c>
      <c r="M833" s="5" t="s">
        <v>3651</v>
      </c>
      <c r="N833" s="5" t="s">
        <v>2933</v>
      </c>
      <c r="O833" s="5" t="s">
        <v>33</v>
      </c>
      <c r="P833" s="5" t="s">
        <v>26</v>
      </c>
      <c r="Q833" s="5" t="s">
        <v>34</v>
      </c>
      <c r="R833" s="5">
        <v>2152</v>
      </c>
      <c r="S833" s="5">
        <v>42.3869905286289</v>
      </c>
      <c r="T833" s="5">
        <v>-71.007234740000001</v>
      </c>
    </row>
    <row r="834" spans="1:20" x14ac:dyDescent="0.3">
      <c r="A834" s="7" t="s">
        <v>2934</v>
      </c>
      <c r="B834" s="6">
        <v>19046</v>
      </c>
      <c r="C834" s="6" t="str">
        <f t="shared" si="236"/>
        <v>Active/Unavailable</v>
      </c>
      <c r="D834" s="5" t="s">
        <v>29</v>
      </c>
      <c r="E834" s="5" t="s">
        <v>1275</v>
      </c>
      <c r="F834" s="5" t="s">
        <v>1181</v>
      </c>
      <c r="G834" s="5" t="str">
        <f t="shared" si="237"/>
        <v>Not Available</v>
      </c>
      <c r="H834" s="5" t="str">
        <f t="shared" si="238"/>
        <v>Not Available</v>
      </c>
      <c r="I834" s="5" t="s">
        <v>22</v>
      </c>
      <c r="J834" s="5" t="s">
        <v>3388</v>
      </c>
      <c r="K834" s="5" t="s">
        <v>3393</v>
      </c>
      <c r="L834" s="5" t="s">
        <v>22</v>
      </c>
      <c r="M834" s="5" t="s">
        <v>3616</v>
      </c>
      <c r="N834" s="5" t="s">
        <v>2935</v>
      </c>
      <c r="O834" s="5" t="s">
        <v>33</v>
      </c>
      <c r="P834" s="5" t="s">
        <v>26</v>
      </c>
      <c r="Q834" s="5" t="s">
        <v>34</v>
      </c>
      <c r="R834" s="5">
        <v>2152</v>
      </c>
      <c r="S834" s="5">
        <v>42.354162010000003</v>
      </c>
      <c r="T834" s="5">
        <v>-71.022364859999996</v>
      </c>
    </row>
    <row r="835" spans="1:20" x14ac:dyDescent="0.3">
      <c r="A835" s="5" t="s">
        <v>2936</v>
      </c>
      <c r="B835" s="6">
        <v>17057</v>
      </c>
      <c r="C835" s="6" t="str">
        <f t="shared" si="236"/>
        <v>Active/Unavailable</v>
      </c>
      <c r="D835" s="5" t="s">
        <v>29</v>
      </c>
      <c r="E835" s="5" t="s">
        <v>2937</v>
      </c>
      <c r="F835" s="5" t="s">
        <v>291</v>
      </c>
      <c r="G835" s="5" t="str">
        <f t="shared" si="237"/>
        <v>Not Available</v>
      </c>
      <c r="H835" s="5" t="str">
        <f t="shared" si="238"/>
        <v>Not Available</v>
      </c>
      <c r="I835" s="5" t="s">
        <v>22</v>
      </c>
      <c r="J835" s="5" t="s">
        <v>3388</v>
      </c>
      <c r="K835" s="5" t="s">
        <v>3394</v>
      </c>
      <c r="L835" s="5" t="s">
        <v>22</v>
      </c>
      <c r="M835" s="5" t="s">
        <v>3433</v>
      </c>
      <c r="N835" s="5" t="s">
        <v>2938</v>
      </c>
      <c r="O835" s="5" t="s">
        <v>33</v>
      </c>
      <c r="P835" s="5" t="s">
        <v>26</v>
      </c>
      <c r="Q835" s="5" t="s">
        <v>34</v>
      </c>
      <c r="R835" s="5">
        <v>2128</v>
      </c>
      <c r="S835" s="5">
        <v>42.322718566128898</v>
      </c>
      <c r="T835" s="5">
        <v>-71.025188400000005</v>
      </c>
    </row>
    <row r="836" spans="1:20" x14ac:dyDescent="0.3">
      <c r="A836" s="5" t="s">
        <v>2939</v>
      </c>
      <c r="B836" s="6">
        <v>22449</v>
      </c>
      <c r="C836" s="6" t="str">
        <f t="shared" si="236"/>
        <v>Active/Unavailable</v>
      </c>
      <c r="D836" s="5" t="s">
        <v>29</v>
      </c>
      <c r="E836" s="5" t="s">
        <v>1438</v>
      </c>
      <c r="F836" s="5" t="s">
        <v>1829</v>
      </c>
      <c r="G836" s="5" t="str">
        <f t="shared" si="237"/>
        <v>Not Available</v>
      </c>
      <c r="H836" s="5" t="str">
        <f t="shared" si="238"/>
        <v>Not Available</v>
      </c>
      <c r="I836" s="5" t="s">
        <v>22</v>
      </c>
      <c r="J836" s="5" t="s">
        <v>3387</v>
      </c>
      <c r="K836" s="5" t="s">
        <v>3393</v>
      </c>
      <c r="L836" s="5" t="s">
        <v>22</v>
      </c>
      <c r="M836" s="5" t="s">
        <v>3672</v>
      </c>
      <c r="N836" s="5" t="s">
        <v>2940</v>
      </c>
      <c r="O836" s="5" t="s">
        <v>373</v>
      </c>
      <c r="P836" s="5" t="s">
        <v>26</v>
      </c>
      <c r="Q836" s="5" t="s">
        <v>57</v>
      </c>
      <c r="R836" s="5" t="str">
        <f>"0000"</f>
        <v>0000</v>
      </c>
      <c r="S836" s="5">
        <v>42.422768944274402</v>
      </c>
      <c r="T836" s="5">
        <v>-71.123180390000002</v>
      </c>
    </row>
    <row r="837" spans="1:20" x14ac:dyDescent="0.3">
      <c r="A837" s="5" t="s">
        <v>2941</v>
      </c>
      <c r="B837" s="6">
        <v>30999</v>
      </c>
      <c r="C837" s="6" t="str">
        <f t="shared" si="236"/>
        <v>Active/Unavailable</v>
      </c>
      <c r="D837" s="5" t="s">
        <v>18</v>
      </c>
      <c r="E837" s="5" t="s">
        <v>2942</v>
      </c>
      <c r="F837" s="5" t="s">
        <v>1312</v>
      </c>
      <c r="G837" s="5" t="str">
        <f t="shared" si="237"/>
        <v>Not Available</v>
      </c>
      <c r="H837" s="5" t="s">
        <v>1347</v>
      </c>
      <c r="I837" s="5" t="s">
        <v>22</v>
      </c>
      <c r="J837" s="5" t="s">
        <v>3387</v>
      </c>
      <c r="K837" s="5" t="s">
        <v>3393</v>
      </c>
      <c r="L837" s="5" t="s">
        <v>23</v>
      </c>
      <c r="M837" s="5" t="s">
        <v>3548</v>
      </c>
      <c r="N837" s="5" t="s">
        <v>2943</v>
      </c>
      <c r="O837" s="5" t="s">
        <v>33</v>
      </c>
      <c r="P837" s="5" t="s">
        <v>26</v>
      </c>
      <c r="Q837" s="5" t="s">
        <v>34</v>
      </c>
      <c r="R837" s="5">
        <v>2108</v>
      </c>
      <c r="S837" s="5">
        <v>42.385423200469099</v>
      </c>
      <c r="T837" s="5">
        <v>-71.048579059999994</v>
      </c>
    </row>
    <row r="838" spans="1:20" x14ac:dyDescent="0.3">
      <c r="A838" s="5" t="s">
        <v>2944</v>
      </c>
      <c r="B838" s="6">
        <v>12279</v>
      </c>
      <c r="C838" s="6">
        <v>44223</v>
      </c>
      <c r="D838" s="5" t="s">
        <v>18</v>
      </c>
      <c r="E838" s="5" t="s">
        <v>2945</v>
      </c>
      <c r="F838" s="5" t="s">
        <v>2481</v>
      </c>
      <c r="G838" s="5" t="str">
        <f t="shared" si="237"/>
        <v>Not Available</v>
      </c>
      <c r="H838" s="5" t="s">
        <v>165</v>
      </c>
      <c r="I838" s="5" t="s">
        <v>22</v>
      </c>
      <c r="J838" s="5" t="s">
        <v>3387</v>
      </c>
      <c r="K838" s="5" t="s">
        <v>3393</v>
      </c>
      <c r="L838" s="5" t="s">
        <v>23</v>
      </c>
      <c r="M838" s="5" t="s">
        <v>3442</v>
      </c>
      <c r="N838" s="5" t="s">
        <v>2946</v>
      </c>
      <c r="O838" s="5" t="s">
        <v>25</v>
      </c>
      <c r="P838" s="5" t="s">
        <v>26</v>
      </c>
      <c r="Q838" s="5" t="s">
        <v>27</v>
      </c>
      <c r="R838" s="5" t="str">
        <f>"0000"</f>
        <v>0000</v>
      </c>
      <c r="S838" s="5">
        <v>42.295959379481303</v>
      </c>
      <c r="T838" s="5">
        <v>-71.032991850000002</v>
      </c>
    </row>
    <row r="839" spans="1:20" x14ac:dyDescent="0.3">
      <c r="A839" s="5" t="s">
        <v>2947</v>
      </c>
      <c r="B839" s="6">
        <v>12279</v>
      </c>
      <c r="C839" s="6" t="str">
        <f t="shared" ref="C839:C845" si="239">"Active/Unavailable"</f>
        <v>Active/Unavailable</v>
      </c>
      <c r="D839" s="5" t="s">
        <v>18</v>
      </c>
      <c r="E839" s="5" t="s">
        <v>2948</v>
      </c>
      <c r="F839" s="5" t="s">
        <v>624</v>
      </c>
      <c r="G839" s="5" t="str">
        <f t="shared" si="237"/>
        <v>Not Available</v>
      </c>
      <c r="H839" s="5" t="s">
        <v>433</v>
      </c>
      <c r="I839" s="5" t="s">
        <v>22</v>
      </c>
      <c r="J839" s="5" t="s">
        <v>3387</v>
      </c>
      <c r="K839" s="5" t="s">
        <v>3393</v>
      </c>
      <c r="L839" s="5" t="s">
        <v>23</v>
      </c>
      <c r="M839" s="5" t="s">
        <v>3673</v>
      </c>
      <c r="N839" s="5" t="s">
        <v>2949</v>
      </c>
      <c r="O839" s="5" t="s">
        <v>25</v>
      </c>
      <c r="P839" s="5" t="s">
        <v>26</v>
      </c>
      <c r="Q839" s="5" t="s">
        <v>27</v>
      </c>
      <c r="R839" s="5">
        <v>2171</v>
      </c>
      <c r="S839" s="5">
        <v>42.288619115741596</v>
      </c>
      <c r="T839" s="5">
        <v>-70.958764529999996</v>
      </c>
    </row>
    <row r="840" spans="1:20" x14ac:dyDescent="0.3">
      <c r="A840" s="5" t="s">
        <v>2950</v>
      </c>
      <c r="B840" s="6">
        <v>26323</v>
      </c>
      <c r="C840" s="6" t="str">
        <f t="shared" si="239"/>
        <v>Active/Unavailable</v>
      </c>
      <c r="D840" s="5" t="s">
        <v>18</v>
      </c>
      <c r="E840" s="5" t="s">
        <v>690</v>
      </c>
      <c r="F840" s="5" t="s">
        <v>925</v>
      </c>
      <c r="G840" s="5" t="str">
        <f t="shared" si="237"/>
        <v>Not Available</v>
      </c>
      <c r="H840" s="5" t="s">
        <v>2923</v>
      </c>
      <c r="I840" s="5" t="s">
        <v>22</v>
      </c>
      <c r="J840" s="5" t="s">
        <v>3387</v>
      </c>
      <c r="K840" s="5" t="s">
        <v>3394</v>
      </c>
      <c r="L840" s="5" t="s">
        <v>23</v>
      </c>
      <c r="M840" s="5" t="s">
        <v>3644</v>
      </c>
      <c r="N840" s="5" t="s">
        <v>2951</v>
      </c>
      <c r="O840" s="5" t="s">
        <v>486</v>
      </c>
      <c r="P840" s="5" t="s">
        <v>26</v>
      </c>
      <c r="Q840" s="5" t="s">
        <v>34</v>
      </c>
      <c r="R840" s="5" t="str">
        <f>"0000"</f>
        <v>0000</v>
      </c>
      <c r="S840" s="5">
        <v>42.387190436948899</v>
      </c>
      <c r="T840" s="5">
        <v>-71.047621710000001</v>
      </c>
    </row>
    <row r="841" spans="1:20" x14ac:dyDescent="0.3">
      <c r="A841" s="5" t="s">
        <v>2952</v>
      </c>
      <c r="B841" s="6">
        <v>19436</v>
      </c>
      <c r="C841" s="6" t="str">
        <f t="shared" si="239"/>
        <v>Active/Unavailable</v>
      </c>
      <c r="D841" s="5" t="s">
        <v>18</v>
      </c>
      <c r="E841" s="5" t="s">
        <v>1045</v>
      </c>
      <c r="F841" s="5" t="s">
        <v>2953</v>
      </c>
      <c r="G841" s="5" t="s">
        <v>314</v>
      </c>
      <c r="H841" s="5" t="s">
        <v>2954</v>
      </c>
      <c r="I841" s="5" t="s">
        <v>22</v>
      </c>
      <c r="J841" s="5" t="s">
        <v>3389</v>
      </c>
      <c r="K841" s="5" t="s">
        <v>3394</v>
      </c>
      <c r="L841" s="5" t="s">
        <v>23</v>
      </c>
      <c r="M841" s="5" t="s">
        <v>3558</v>
      </c>
      <c r="N841" s="5" t="s">
        <v>2955</v>
      </c>
      <c r="O841" s="5" t="s">
        <v>33</v>
      </c>
      <c r="P841" s="5" t="s">
        <v>26</v>
      </c>
      <c r="Q841" s="5" t="s">
        <v>34</v>
      </c>
      <c r="R841" s="5">
        <v>2151</v>
      </c>
      <c r="S841" s="5">
        <v>42.362248948646403</v>
      </c>
      <c r="T841" s="5">
        <v>-71.021280899999994</v>
      </c>
    </row>
    <row r="842" spans="1:20" x14ac:dyDescent="0.3">
      <c r="A842" s="5" t="s">
        <v>2956</v>
      </c>
      <c r="B842" s="6">
        <v>16867</v>
      </c>
      <c r="C842" s="6" t="str">
        <f t="shared" si="239"/>
        <v>Active/Unavailable</v>
      </c>
      <c r="D842" s="5" t="s">
        <v>29</v>
      </c>
      <c r="E842" s="5" t="s">
        <v>2957</v>
      </c>
      <c r="F842" s="5" t="s">
        <v>2958</v>
      </c>
      <c r="G842" s="5" t="str">
        <f t="shared" ref="G842:G849" si="240">"Not Available"</f>
        <v>Not Available</v>
      </c>
      <c r="H842" s="5" t="str">
        <f t="shared" ref="H842:H844" si="241">"Not Available"</f>
        <v>Not Available</v>
      </c>
      <c r="I842" s="5" t="s">
        <v>22</v>
      </c>
      <c r="J842" s="5" t="s">
        <v>3387</v>
      </c>
      <c r="K842" s="5" t="s">
        <v>3393</v>
      </c>
      <c r="L842" s="5" t="s">
        <v>22</v>
      </c>
      <c r="M842" s="5" t="s">
        <v>3400</v>
      </c>
      <c r="N842" s="5" t="s">
        <v>2959</v>
      </c>
      <c r="O842" s="5" t="s">
        <v>486</v>
      </c>
      <c r="P842" s="5" t="s">
        <v>26</v>
      </c>
      <c r="Q842" s="5" t="s">
        <v>34</v>
      </c>
      <c r="R842" s="5">
        <v>2128</v>
      </c>
      <c r="S842" s="5">
        <v>42.327182341294197</v>
      </c>
      <c r="T842" s="5">
        <v>-70.974705909999997</v>
      </c>
    </row>
    <row r="843" spans="1:20" x14ac:dyDescent="0.3">
      <c r="A843" s="5" t="s">
        <v>2960</v>
      </c>
      <c r="B843" s="6">
        <v>8385</v>
      </c>
      <c r="C843" s="6" t="str">
        <f t="shared" si="239"/>
        <v>Active/Unavailable</v>
      </c>
      <c r="D843" s="5" t="s">
        <v>29</v>
      </c>
      <c r="E843" s="5" t="s">
        <v>2961</v>
      </c>
      <c r="F843" s="5" t="s">
        <v>1654</v>
      </c>
      <c r="G843" s="5" t="str">
        <f t="shared" si="240"/>
        <v>Not Available</v>
      </c>
      <c r="H843" s="5" t="str">
        <f t="shared" si="241"/>
        <v>Not Available</v>
      </c>
      <c r="I843" s="5" t="s">
        <v>22</v>
      </c>
      <c r="J843" s="5" t="s">
        <v>3387</v>
      </c>
      <c r="K843" s="5" t="s">
        <v>3393</v>
      </c>
      <c r="L843" s="5" t="s">
        <v>22</v>
      </c>
      <c r="M843" s="5" t="s">
        <v>3506</v>
      </c>
      <c r="N843" s="5" t="s">
        <v>2962</v>
      </c>
      <c r="O843" s="5" t="s">
        <v>33</v>
      </c>
      <c r="P843" s="5" t="s">
        <v>26</v>
      </c>
      <c r="Q843" s="5" t="s">
        <v>34</v>
      </c>
      <c r="R843" s="5">
        <v>2127</v>
      </c>
      <c r="S843" s="5">
        <v>42.324002937648402</v>
      </c>
      <c r="T843" s="5">
        <v>-71.088577200000003</v>
      </c>
    </row>
    <row r="844" spans="1:20" x14ac:dyDescent="0.3">
      <c r="A844" s="5" t="s">
        <v>2963</v>
      </c>
      <c r="B844" s="6">
        <v>11509</v>
      </c>
      <c r="C844" s="6" t="str">
        <f t="shared" si="239"/>
        <v>Active/Unavailable</v>
      </c>
      <c r="D844" s="5" t="s">
        <v>29</v>
      </c>
      <c r="E844" s="5" t="s">
        <v>2964</v>
      </c>
      <c r="F844" s="5" t="s">
        <v>2965</v>
      </c>
      <c r="G844" s="5" t="str">
        <f t="shared" si="240"/>
        <v>Not Available</v>
      </c>
      <c r="H844" s="5" t="str">
        <f t="shared" si="241"/>
        <v>Not Available</v>
      </c>
      <c r="I844" s="5" t="s">
        <v>22</v>
      </c>
      <c r="J844" s="5" t="s">
        <v>3387</v>
      </c>
      <c r="K844" s="5" t="s">
        <v>3393</v>
      </c>
      <c r="L844" s="5" t="s">
        <v>22</v>
      </c>
      <c r="M844" s="5" t="s">
        <v>3489</v>
      </c>
      <c r="N844" s="5" t="s">
        <v>2966</v>
      </c>
      <c r="O844" s="5" t="s">
        <v>33</v>
      </c>
      <c r="P844" s="5" t="s">
        <v>26</v>
      </c>
      <c r="Q844" s="5" t="s">
        <v>34</v>
      </c>
      <c r="R844" s="5">
        <v>2124</v>
      </c>
      <c r="S844" s="5">
        <v>42.369850171262001</v>
      </c>
      <c r="T844" s="5">
        <v>-70.979090650000003</v>
      </c>
    </row>
    <row r="845" spans="1:20" x14ac:dyDescent="0.3">
      <c r="A845" s="5" t="s">
        <v>2967</v>
      </c>
      <c r="B845" s="6">
        <v>14744</v>
      </c>
      <c r="C845" s="6" t="str">
        <f t="shared" si="239"/>
        <v>Active/Unavailable</v>
      </c>
      <c r="D845" s="5" t="s">
        <v>18</v>
      </c>
      <c r="E845" s="5" t="s">
        <v>2968</v>
      </c>
      <c r="F845" s="5" t="s">
        <v>1307</v>
      </c>
      <c r="G845" s="5" t="str">
        <f t="shared" si="240"/>
        <v>Not Available</v>
      </c>
      <c r="H845" s="5" t="s">
        <v>1165</v>
      </c>
      <c r="I845" s="5" t="s">
        <v>22</v>
      </c>
      <c r="J845" s="5" t="s">
        <v>3389</v>
      </c>
      <c r="K845" s="5" t="s">
        <v>3393</v>
      </c>
      <c r="L845" s="5" t="s">
        <v>23</v>
      </c>
      <c r="M845" s="5" t="s">
        <v>3418</v>
      </c>
      <c r="N845" s="5" t="s">
        <v>2969</v>
      </c>
      <c r="O845" s="5" t="s">
        <v>33</v>
      </c>
      <c r="P845" s="5" t="s">
        <v>26</v>
      </c>
      <c r="Q845" s="5" t="s">
        <v>34</v>
      </c>
      <c r="R845" s="5">
        <v>2110</v>
      </c>
      <c r="S845" s="5">
        <v>42.316330461892399</v>
      </c>
      <c r="T845" s="5">
        <v>-71.016286710000003</v>
      </c>
    </row>
    <row r="846" spans="1:20" x14ac:dyDescent="0.3">
      <c r="A846" s="5" t="s">
        <v>2970</v>
      </c>
      <c r="B846" s="6">
        <v>13327</v>
      </c>
      <c r="C846" s="6">
        <v>44201</v>
      </c>
      <c r="D846" s="5" t="s">
        <v>18</v>
      </c>
      <c r="E846" s="5" t="s">
        <v>2971</v>
      </c>
      <c r="F846" s="5" t="s">
        <v>402</v>
      </c>
      <c r="G846" s="5" t="str">
        <f t="shared" si="240"/>
        <v>Not Available</v>
      </c>
      <c r="H846" s="5" t="s">
        <v>617</v>
      </c>
      <c r="I846" s="5" t="s">
        <v>22</v>
      </c>
      <c r="J846" s="5" t="s">
        <v>3388</v>
      </c>
      <c r="K846" s="5" t="s">
        <v>3393</v>
      </c>
      <c r="L846" s="5" t="s">
        <v>23</v>
      </c>
      <c r="M846" s="5" t="s">
        <v>3602</v>
      </c>
      <c r="N846" s="5" t="s">
        <v>2972</v>
      </c>
      <c r="O846" s="5" t="s">
        <v>33</v>
      </c>
      <c r="P846" s="5" t="s">
        <v>26</v>
      </c>
      <c r="Q846" s="5" t="s">
        <v>34</v>
      </c>
      <c r="R846" s="5">
        <v>2199</v>
      </c>
      <c r="S846" s="5">
        <v>42.323826813499601</v>
      </c>
      <c r="T846" s="5">
        <v>-71.039898710000003</v>
      </c>
    </row>
    <row r="847" spans="1:20" x14ac:dyDescent="0.3">
      <c r="A847" s="5" t="s">
        <v>2973</v>
      </c>
      <c r="B847" s="6">
        <v>13327</v>
      </c>
      <c r="C847" s="6" t="str">
        <f t="shared" ref="C847:C848" si="242">"Active/Unavailable"</f>
        <v>Active/Unavailable</v>
      </c>
      <c r="D847" s="5" t="s">
        <v>18</v>
      </c>
      <c r="E847" s="5" t="s">
        <v>2974</v>
      </c>
      <c r="F847" s="5" t="s">
        <v>613</v>
      </c>
      <c r="G847" s="5" t="str">
        <f t="shared" si="240"/>
        <v>Not Available</v>
      </c>
      <c r="H847" s="5" t="s">
        <v>226</v>
      </c>
      <c r="I847" s="5" t="s">
        <v>22</v>
      </c>
      <c r="J847" s="5" t="s">
        <v>3388</v>
      </c>
      <c r="K847" s="5" t="s">
        <v>3393</v>
      </c>
      <c r="L847" s="5" t="s">
        <v>23</v>
      </c>
      <c r="M847" s="5" t="s">
        <v>3602</v>
      </c>
      <c r="N847" s="5" t="s">
        <v>2975</v>
      </c>
      <c r="O847" s="5" t="s">
        <v>33</v>
      </c>
      <c r="P847" s="5" t="s">
        <v>26</v>
      </c>
      <c r="Q847" s="5" t="s">
        <v>34</v>
      </c>
      <c r="R847" s="5">
        <v>2121</v>
      </c>
      <c r="S847" s="5">
        <v>42.319157760345597</v>
      </c>
      <c r="T847" s="5">
        <v>-71.077400659999995</v>
      </c>
    </row>
    <row r="848" spans="1:20" x14ac:dyDescent="0.3">
      <c r="A848" s="5" t="s">
        <v>2976</v>
      </c>
      <c r="B848" s="6">
        <v>15027</v>
      </c>
      <c r="C848" s="6" t="str">
        <f t="shared" si="242"/>
        <v>Active/Unavailable</v>
      </c>
      <c r="D848" s="5" t="s">
        <v>18</v>
      </c>
      <c r="E848" s="5" t="s">
        <v>2977</v>
      </c>
      <c r="F848" s="5" t="s">
        <v>1352</v>
      </c>
      <c r="G848" s="5" t="str">
        <f t="shared" si="240"/>
        <v>Not Available</v>
      </c>
      <c r="H848" s="5" t="s">
        <v>2043</v>
      </c>
      <c r="I848" s="5" t="s">
        <v>22</v>
      </c>
      <c r="J848" s="5" t="s">
        <v>3387</v>
      </c>
      <c r="K848" s="5" t="s">
        <v>3393</v>
      </c>
      <c r="L848" s="5" t="s">
        <v>23</v>
      </c>
      <c r="M848" s="5" t="s">
        <v>3502</v>
      </c>
      <c r="N848" s="5" t="s">
        <v>2978</v>
      </c>
      <c r="O848" s="5" t="s">
        <v>56</v>
      </c>
      <c r="P848" s="5" t="s">
        <v>26</v>
      </c>
      <c r="Q848" s="5" t="s">
        <v>57</v>
      </c>
      <c r="R848" s="5">
        <v>2472</v>
      </c>
      <c r="S848" s="5">
        <v>42.346238087751999</v>
      </c>
      <c r="T848" s="5">
        <v>-71.040219960000002</v>
      </c>
    </row>
    <row r="849" spans="1:20" x14ac:dyDescent="0.3">
      <c r="A849" s="5" t="s">
        <v>2979</v>
      </c>
      <c r="B849" s="6">
        <v>12890</v>
      </c>
      <c r="C849" s="6">
        <v>44215</v>
      </c>
      <c r="D849" s="5" t="s">
        <v>100</v>
      </c>
      <c r="E849" s="5" t="s">
        <v>2980</v>
      </c>
      <c r="F849" s="5" t="s">
        <v>1672</v>
      </c>
      <c r="G849" s="5" t="str">
        <f t="shared" si="240"/>
        <v>Not Available</v>
      </c>
      <c r="H849" s="5" t="str">
        <f t="shared" ref="H849:H852" si="243">"Not Available"</f>
        <v>Not Available</v>
      </c>
      <c r="I849" s="5" t="s">
        <v>65</v>
      </c>
      <c r="J849" s="5" t="s">
        <v>3387</v>
      </c>
      <c r="K849" s="5" t="s">
        <v>3393</v>
      </c>
      <c r="L849" s="5" t="s">
        <v>23</v>
      </c>
      <c r="M849" s="5" t="s">
        <v>3575</v>
      </c>
      <c r="N849" s="5" t="s">
        <v>2981</v>
      </c>
      <c r="O849" s="5" t="s">
        <v>845</v>
      </c>
      <c r="P849" s="5" t="s">
        <v>26</v>
      </c>
      <c r="Q849" s="5" t="s">
        <v>57</v>
      </c>
      <c r="R849" s="5">
        <v>2148</v>
      </c>
      <c r="S849" s="5">
        <v>42.392486309706399</v>
      </c>
      <c r="T849" s="5">
        <v>-71.027691509999997</v>
      </c>
    </row>
    <row r="850" spans="1:20" x14ac:dyDescent="0.3">
      <c r="A850" s="5" t="s">
        <v>2982</v>
      </c>
      <c r="B850" s="6">
        <v>15308</v>
      </c>
      <c r="C850" s="6" t="str">
        <f t="shared" ref="C850:C854" si="244">"Active/Unavailable"</f>
        <v>Active/Unavailable</v>
      </c>
      <c r="D850" s="5" t="s">
        <v>29</v>
      </c>
      <c r="E850" s="5" t="s">
        <v>745</v>
      </c>
      <c r="F850" s="5" t="s">
        <v>1292</v>
      </c>
      <c r="G850" s="5" t="s">
        <v>314</v>
      </c>
      <c r="H850" s="5" t="str">
        <f t="shared" si="243"/>
        <v>Not Available</v>
      </c>
      <c r="I850" s="5" t="s">
        <v>22</v>
      </c>
      <c r="J850" s="5" t="s">
        <v>3387</v>
      </c>
      <c r="K850" s="5" t="s">
        <v>3393</v>
      </c>
      <c r="L850" s="5" t="s">
        <v>22</v>
      </c>
      <c r="M850" s="5" t="s">
        <v>3494</v>
      </c>
      <c r="N850" s="5" t="s">
        <v>2983</v>
      </c>
      <c r="O850" s="5" t="s">
        <v>33</v>
      </c>
      <c r="P850" s="5" t="s">
        <v>26</v>
      </c>
      <c r="Q850" s="5" t="s">
        <v>34</v>
      </c>
      <c r="R850" s="5" t="str">
        <f t="shared" ref="R850:R851" si="245">"0000"</f>
        <v>0000</v>
      </c>
      <c r="S850" s="5">
        <v>42.338867</v>
      </c>
      <c r="T850" s="5">
        <v>-71.01147272</v>
      </c>
    </row>
    <row r="851" spans="1:20" x14ac:dyDescent="0.3">
      <c r="A851" s="5" t="s">
        <v>2984</v>
      </c>
      <c r="B851" s="6">
        <v>17945</v>
      </c>
      <c r="C851" s="6" t="str">
        <f t="shared" si="244"/>
        <v>Active/Unavailable</v>
      </c>
      <c r="D851" s="5" t="s">
        <v>29</v>
      </c>
      <c r="E851" s="5" t="s">
        <v>2985</v>
      </c>
      <c r="F851" s="5" t="s">
        <v>64</v>
      </c>
      <c r="G851" s="5" t="str">
        <f t="shared" ref="G851:G853" si="246">"Not Available"</f>
        <v>Not Available</v>
      </c>
      <c r="H851" s="5" t="str">
        <f t="shared" si="243"/>
        <v>Not Available</v>
      </c>
      <c r="I851" s="5" t="s">
        <v>22</v>
      </c>
      <c r="J851" s="5" t="s">
        <v>3387</v>
      </c>
      <c r="K851" s="5" t="s">
        <v>3393</v>
      </c>
      <c r="L851" s="5" t="s">
        <v>22</v>
      </c>
      <c r="M851" s="5" t="s">
        <v>3435</v>
      </c>
      <c r="N851" s="5" t="s">
        <v>2986</v>
      </c>
      <c r="O851" s="5" t="s">
        <v>2987</v>
      </c>
      <c r="P851" s="5" t="s">
        <v>26</v>
      </c>
      <c r="Q851" s="5" t="s">
        <v>57</v>
      </c>
      <c r="R851" s="5" t="str">
        <f t="shared" si="245"/>
        <v>0000</v>
      </c>
      <c r="S851" s="5">
        <v>42.321399743929099</v>
      </c>
      <c r="T851" s="5">
        <v>-71.129800070000002</v>
      </c>
    </row>
    <row r="852" spans="1:20" x14ac:dyDescent="0.3">
      <c r="A852" s="5" t="s">
        <v>2988</v>
      </c>
      <c r="B852" s="6">
        <v>25898</v>
      </c>
      <c r="C852" s="6" t="str">
        <f t="shared" si="244"/>
        <v>Active/Unavailable</v>
      </c>
      <c r="D852" s="5" t="s">
        <v>29</v>
      </c>
      <c r="E852" s="5" t="s">
        <v>2989</v>
      </c>
      <c r="F852" s="5" t="s">
        <v>3383</v>
      </c>
      <c r="G852" s="5" t="str">
        <f t="shared" si="246"/>
        <v>Not Available</v>
      </c>
      <c r="H852" s="5" t="str">
        <f t="shared" si="243"/>
        <v>Not Available</v>
      </c>
      <c r="I852" s="5" t="s">
        <v>22</v>
      </c>
      <c r="J852" s="5" t="s">
        <v>3387</v>
      </c>
      <c r="K852" s="5" t="s">
        <v>3394</v>
      </c>
      <c r="L852" s="5" t="s">
        <v>22</v>
      </c>
      <c r="M852" s="5" t="s">
        <v>3649</v>
      </c>
      <c r="N852" s="5" t="s">
        <v>2990</v>
      </c>
      <c r="O852" s="5" t="s">
        <v>33</v>
      </c>
      <c r="P852" s="5" t="s">
        <v>26</v>
      </c>
      <c r="Q852" s="5" t="s">
        <v>34</v>
      </c>
      <c r="R852" s="5">
        <v>2110</v>
      </c>
      <c r="S852" s="5">
        <v>42.380612151193198</v>
      </c>
      <c r="T852" s="5">
        <v>-71.096178210000005</v>
      </c>
    </row>
    <row r="853" spans="1:20" x14ac:dyDescent="0.3">
      <c r="A853" s="5" t="s">
        <v>2991</v>
      </c>
      <c r="B853" s="6">
        <v>12890</v>
      </c>
      <c r="C853" s="6" t="str">
        <f t="shared" si="244"/>
        <v>Active/Unavailable</v>
      </c>
      <c r="D853" s="5" t="s">
        <v>18</v>
      </c>
      <c r="E853" s="5" t="s">
        <v>2992</v>
      </c>
      <c r="F853" s="5" t="s">
        <v>2993</v>
      </c>
      <c r="G853" s="5" t="str">
        <f t="shared" si="246"/>
        <v>Not Available</v>
      </c>
      <c r="H853" s="5" t="s">
        <v>1351</v>
      </c>
      <c r="I853" s="5" t="s">
        <v>22</v>
      </c>
      <c r="J853" s="5" t="s">
        <v>3387</v>
      </c>
      <c r="K853" s="5" t="s">
        <v>3393</v>
      </c>
      <c r="L853" s="5" t="s">
        <v>23</v>
      </c>
      <c r="M853" s="5" t="s">
        <v>3540</v>
      </c>
      <c r="N853" s="5" t="s">
        <v>2994</v>
      </c>
      <c r="O853" s="5" t="s">
        <v>845</v>
      </c>
      <c r="P853" s="5" t="s">
        <v>26</v>
      </c>
      <c r="Q853" s="5" t="s">
        <v>57</v>
      </c>
      <c r="R853" s="5">
        <v>2148</v>
      </c>
      <c r="S853" s="5">
        <v>42.392905149999997</v>
      </c>
      <c r="T853" s="5">
        <v>-71.023460349999993</v>
      </c>
    </row>
    <row r="854" spans="1:20" x14ac:dyDescent="0.3">
      <c r="A854" s="5" t="s">
        <v>2995</v>
      </c>
      <c r="B854" s="6">
        <v>25055</v>
      </c>
      <c r="C854" s="6" t="str">
        <f t="shared" si="244"/>
        <v>Active/Unavailable</v>
      </c>
      <c r="D854" s="5" t="s">
        <v>29</v>
      </c>
      <c r="E854" s="5" t="s">
        <v>2996</v>
      </c>
      <c r="F854" s="5" t="s">
        <v>934</v>
      </c>
      <c r="G854" s="5" t="s">
        <v>314</v>
      </c>
      <c r="H854" s="5" t="str">
        <f t="shared" ref="H854:H857" si="247">"Not Available"</f>
        <v>Not Available</v>
      </c>
      <c r="I854" s="5" t="s">
        <v>22</v>
      </c>
      <c r="J854" s="5" t="s">
        <v>3387</v>
      </c>
      <c r="K854" s="5" t="s">
        <v>3393</v>
      </c>
      <c r="L854" s="5" t="s">
        <v>22</v>
      </c>
      <c r="M854" s="5" t="s">
        <v>3674</v>
      </c>
      <c r="N854" s="5" t="s">
        <v>2997</v>
      </c>
      <c r="O854" s="5" t="s">
        <v>88</v>
      </c>
      <c r="P854" s="5" t="s">
        <v>26</v>
      </c>
      <c r="Q854" s="5" t="s">
        <v>57</v>
      </c>
      <c r="R854" s="5">
        <v>2144</v>
      </c>
      <c r="S854" s="5">
        <v>42.3524578259617</v>
      </c>
      <c r="T854" s="5">
        <v>-71.049034800000001</v>
      </c>
    </row>
    <row r="855" spans="1:20" x14ac:dyDescent="0.3">
      <c r="A855" s="5" t="s">
        <v>2998</v>
      </c>
      <c r="B855" s="6">
        <v>10017</v>
      </c>
      <c r="C855" s="6">
        <v>43295</v>
      </c>
      <c r="D855" s="5" t="s">
        <v>29</v>
      </c>
      <c r="E855" s="5" t="s">
        <v>2999</v>
      </c>
      <c r="F855" s="5" t="s">
        <v>3000</v>
      </c>
      <c r="G855" s="5" t="str">
        <f t="shared" ref="G855:G857" si="248">"Not Available"</f>
        <v>Not Available</v>
      </c>
      <c r="H855" s="5" t="str">
        <f t="shared" si="247"/>
        <v>Not Available</v>
      </c>
      <c r="I855" s="5" t="s">
        <v>22</v>
      </c>
      <c r="J855" s="5" t="s">
        <v>3387</v>
      </c>
      <c r="K855" s="5" t="s">
        <v>3393</v>
      </c>
      <c r="L855" s="5" t="s">
        <v>22</v>
      </c>
      <c r="M855" s="5" t="s">
        <v>3400</v>
      </c>
      <c r="N855" s="5" t="s">
        <v>3001</v>
      </c>
      <c r="O855" s="5" t="s">
        <v>56</v>
      </c>
      <c r="P855" s="5" t="s">
        <v>26</v>
      </c>
      <c r="Q855" s="5" t="s">
        <v>57</v>
      </c>
      <c r="R855" s="5">
        <v>2139</v>
      </c>
      <c r="S855" s="5">
        <v>42.399932450000001</v>
      </c>
      <c r="T855" s="5">
        <v>-71.085762669999994</v>
      </c>
    </row>
    <row r="856" spans="1:20" x14ac:dyDescent="0.3">
      <c r="A856" s="5" t="s">
        <v>3002</v>
      </c>
      <c r="B856" s="6">
        <v>26164</v>
      </c>
      <c r="C856" s="6" t="str">
        <f>"Active/Unavailable"</f>
        <v>Active/Unavailable</v>
      </c>
      <c r="D856" s="5" t="s">
        <v>29</v>
      </c>
      <c r="E856" s="5" t="s">
        <v>3003</v>
      </c>
      <c r="F856" s="5" t="s">
        <v>558</v>
      </c>
      <c r="G856" s="5" t="str">
        <f t="shared" si="248"/>
        <v>Not Available</v>
      </c>
      <c r="H856" s="5" t="str">
        <f t="shared" si="247"/>
        <v>Not Available</v>
      </c>
      <c r="I856" s="5" t="s">
        <v>65</v>
      </c>
      <c r="J856" s="5" t="s">
        <v>3387</v>
      </c>
      <c r="K856" s="5" t="s">
        <v>3393</v>
      </c>
      <c r="L856" s="5" t="s">
        <v>22</v>
      </c>
      <c r="M856" s="5" t="s">
        <v>3414</v>
      </c>
      <c r="N856" s="5" t="s">
        <v>3004</v>
      </c>
      <c r="O856" s="5" t="s">
        <v>88</v>
      </c>
      <c r="P856" s="5" t="s">
        <v>26</v>
      </c>
      <c r="Q856" s="5" t="s">
        <v>57</v>
      </c>
      <c r="R856" s="5" t="str">
        <f t="shared" ref="R856:R857" si="249">"0000"</f>
        <v>0000</v>
      </c>
      <c r="S856" s="5">
        <v>42.387593169739098</v>
      </c>
      <c r="T856" s="5">
        <v>-71.064918390000003</v>
      </c>
    </row>
    <row r="857" spans="1:20" x14ac:dyDescent="0.3">
      <c r="A857" s="5" t="s">
        <v>3005</v>
      </c>
      <c r="B857" s="6">
        <v>10017</v>
      </c>
      <c r="C857" s="6">
        <v>40976</v>
      </c>
      <c r="D857" s="5" t="s">
        <v>29</v>
      </c>
      <c r="E857" s="5" t="s">
        <v>3006</v>
      </c>
      <c r="F857" s="5" t="s">
        <v>1242</v>
      </c>
      <c r="G857" s="5" t="str">
        <f t="shared" si="248"/>
        <v>Not Available</v>
      </c>
      <c r="H857" s="5" t="str">
        <f t="shared" si="247"/>
        <v>Not Available</v>
      </c>
      <c r="I857" s="5" t="s">
        <v>22</v>
      </c>
      <c r="J857" s="5" t="s">
        <v>3387</v>
      </c>
      <c r="K857" s="5" t="s">
        <v>3393</v>
      </c>
      <c r="L857" s="5" t="s">
        <v>22</v>
      </c>
      <c r="M857" s="5" t="s">
        <v>3540</v>
      </c>
      <c r="N857" s="5" t="s">
        <v>3007</v>
      </c>
      <c r="O857" s="5" t="s">
        <v>56</v>
      </c>
      <c r="P857" s="5" t="s">
        <v>26</v>
      </c>
      <c r="Q857" s="5" t="s">
        <v>57</v>
      </c>
      <c r="R857" s="5" t="str">
        <f t="shared" si="249"/>
        <v>0000</v>
      </c>
      <c r="S857" s="5">
        <v>42.336213800767801</v>
      </c>
      <c r="T857" s="5">
        <v>-71.117595570000006</v>
      </c>
    </row>
    <row r="858" spans="1:20" x14ac:dyDescent="0.3">
      <c r="A858" s="5" t="s">
        <v>3008</v>
      </c>
      <c r="B858" s="6">
        <v>28261</v>
      </c>
      <c r="C858" s="6" t="str">
        <f>"Active/Unavailable"</f>
        <v>Active/Unavailable</v>
      </c>
      <c r="D858" s="5" t="s">
        <v>18</v>
      </c>
      <c r="E858" s="5" t="s">
        <v>3009</v>
      </c>
      <c r="F858" s="5" t="s">
        <v>1221</v>
      </c>
      <c r="G858" s="5" t="s">
        <v>398</v>
      </c>
      <c r="H858" s="5" t="s">
        <v>1743</v>
      </c>
      <c r="I858" s="5" t="s">
        <v>22</v>
      </c>
      <c r="J858" s="5" t="s">
        <v>3387</v>
      </c>
      <c r="K858" s="5" t="s">
        <v>3393</v>
      </c>
      <c r="L858" s="5" t="s">
        <v>23</v>
      </c>
      <c r="M858" s="5" t="s">
        <v>3409</v>
      </c>
      <c r="N858" s="5" t="s">
        <v>3010</v>
      </c>
      <c r="O858" s="5" t="s">
        <v>56</v>
      </c>
      <c r="P858" s="5" t="s">
        <v>26</v>
      </c>
      <c r="Q858" s="5" t="s">
        <v>57</v>
      </c>
      <c r="R858" s="5">
        <v>2472</v>
      </c>
      <c r="S858" s="5">
        <v>42.364069711692501</v>
      </c>
      <c r="T858" s="5">
        <v>-71.144207960000003</v>
      </c>
    </row>
    <row r="859" spans="1:20" x14ac:dyDescent="0.3">
      <c r="A859" s="5" t="s">
        <v>3011</v>
      </c>
      <c r="B859" s="6">
        <v>12299</v>
      </c>
      <c r="C859" s="6">
        <v>42998</v>
      </c>
      <c r="D859" s="5" t="s">
        <v>100</v>
      </c>
      <c r="E859" s="5" t="s">
        <v>3012</v>
      </c>
      <c r="F859" s="5" t="s">
        <v>1304</v>
      </c>
      <c r="G859" s="5" t="str">
        <f t="shared" ref="G859:G890" si="250">"Not Available"</f>
        <v>Not Available</v>
      </c>
      <c r="H859" s="5" t="str">
        <f>"Not Available"</f>
        <v>Not Available</v>
      </c>
      <c r="I859" s="5" t="s">
        <v>65</v>
      </c>
      <c r="J859" s="5" t="s">
        <v>3387</v>
      </c>
      <c r="K859" s="5" t="s">
        <v>3393</v>
      </c>
      <c r="L859" s="5" t="s">
        <v>23</v>
      </c>
      <c r="M859" s="5" t="s">
        <v>3414</v>
      </c>
      <c r="N859" s="5" t="s">
        <v>3013</v>
      </c>
      <c r="O859" s="5" t="s">
        <v>209</v>
      </c>
      <c r="P859" s="5" t="s">
        <v>26</v>
      </c>
      <c r="Q859" s="5" t="s">
        <v>27</v>
      </c>
      <c r="R859" s="5">
        <v>2191</v>
      </c>
      <c r="S859" s="5">
        <v>42.242508632833299</v>
      </c>
      <c r="T859" s="5">
        <v>-70.938182800000007</v>
      </c>
    </row>
    <row r="860" spans="1:20" x14ac:dyDescent="0.3">
      <c r="A860" s="7" t="s">
        <v>3014</v>
      </c>
      <c r="B860" s="6">
        <v>12299</v>
      </c>
      <c r="C860" s="6" t="str">
        <f t="shared" ref="C860:C886" si="251">"Active/Unavailable"</f>
        <v>Active/Unavailable</v>
      </c>
      <c r="D860" s="5" t="s">
        <v>18</v>
      </c>
      <c r="E860" s="5" t="s">
        <v>3015</v>
      </c>
      <c r="F860" s="5" t="s">
        <v>2434</v>
      </c>
      <c r="G860" s="5" t="str">
        <f t="shared" si="250"/>
        <v>Not Available</v>
      </c>
      <c r="H860" s="5" t="s">
        <v>497</v>
      </c>
      <c r="I860" s="5" t="s">
        <v>22</v>
      </c>
      <c r="J860" s="5" t="s">
        <v>3387</v>
      </c>
      <c r="K860" s="5" t="s">
        <v>3393</v>
      </c>
      <c r="L860" s="5" t="s">
        <v>23</v>
      </c>
      <c r="M860" s="5" t="s">
        <v>3400</v>
      </c>
      <c r="N860" s="5" t="s">
        <v>3016</v>
      </c>
      <c r="O860" s="5" t="s">
        <v>209</v>
      </c>
      <c r="P860" s="5" t="s">
        <v>26</v>
      </c>
      <c r="Q860" s="5" t="s">
        <v>27</v>
      </c>
      <c r="R860" s="5" t="str">
        <f>"0000"</f>
        <v>0000</v>
      </c>
      <c r="S860" s="5">
        <v>42.228813629154097</v>
      </c>
      <c r="T860" s="5">
        <v>-70.921669429999994</v>
      </c>
    </row>
    <row r="861" spans="1:20" x14ac:dyDescent="0.3">
      <c r="A861" s="5" t="s">
        <v>3017</v>
      </c>
      <c r="B861" s="6">
        <v>8139</v>
      </c>
      <c r="C861" s="6" t="str">
        <f t="shared" si="251"/>
        <v>Active/Unavailable</v>
      </c>
      <c r="D861" s="5" t="s">
        <v>29</v>
      </c>
      <c r="E861" s="5" t="s">
        <v>475</v>
      </c>
      <c r="F861" s="5" t="s">
        <v>518</v>
      </c>
      <c r="G861" s="5" t="str">
        <f t="shared" si="250"/>
        <v>Not Available</v>
      </c>
      <c r="H861" s="5" t="str">
        <f t="shared" ref="H861:H863" si="252">"Not Available"</f>
        <v>Not Available</v>
      </c>
      <c r="I861" s="5" t="s">
        <v>22</v>
      </c>
      <c r="J861" s="5" t="s">
        <v>3387</v>
      </c>
      <c r="K861" s="5" t="s">
        <v>3393</v>
      </c>
      <c r="L861" s="5" t="s">
        <v>22</v>
      </c>
      <c r="M861" s="5" t="s">
        <v>3500</v>
      </c>
      <c r="N861" s="5" t="s">
        <v>3018</v>
      </c>
      <c r="O861" s="5" t="s">
        <v>679</v>
      </c>
      <c r="P861" s="5" t="s">
        <v>26</v>
      </c>
      <c r="Q861" s="5" t="s">
        <v>317</v>
      </c>
      <c r="R861" s="5">
        <v>2045</v>
      </c>
      <c r="S861" s="5">
        <v>42.288742604160198</v>
      </c>
      <c r="T861" s="5">
        <v>-70.935772130000004</v>
      </c>
    </row>
    <row r="862" spans="1:20" x14ac:dyDescent="0.3">
      <c r="A862" s="5" t="s">
        <v>3019</v>
      </c>
      <c r="B862" s="6">
        <v>28586</v>
      </c>
      <c r="C862" s="6" t="str">
        <f t="shared" si="251"/>
        <v>Active/Unavailable</v>
      </c>
      <c r="D862" s="5" t="s">
        <v>29</v>
      </c>
      <c r="E862" s="5" t="s">
        <v>3020</v>
      </c>
      <c r="F862" s="5" t="s">
        <v>212</v>
      </c>
      <c r="G862" s="5" t="str">
        <f t="shared" si="250"/>
        <v>Not Available</v>
      </c>
      <c r="H862" s="5" t="str">
        <f t="shared" si="252"/>
        <v>Not Available</v>
      </c>
      <c r="I862" s="5" t="s">
        <v>65</v>
      </c>
      <c r="J862" s="5" t="s">
        <v>3387</v>
      </c>
      <c r="K862" s="5" t="s">
        <v>3393</v>
      </c>
      <c r="L862" s="5" t="s">
        <v>22</v>
      </c>
      <c r="M862" s="5" t="s">
        <v>3445</v>
      </c>
      <c r="N862" s="5" t="s">
        <v>3021</v>
      </c>
      <c r="O862" s="5" t="s">
        <v>33</v>
      </c>
      <c r="P862" s="5" t="s">
        <v>26</v>
      </c>
      <c r="Q862" s="5" t="s">
        <v>34</v>
      </c>
      <c r="R862" s="5">
        <v>2125</v>
      </c>
      <c r="S862" s="5">
        <v>42.373565862669203</v>
      </c>
      <c r="T862" s="5">
        <v>-71.046365210000005</v>
      </c>
    </row>
    <row r="863" spans="1:20" x14ac:dyDescent="0.3">
      <c r="A863" s="5" t="s">
        <v>3022</v>
      </c>
      <c r="B863" s="6">
        <v>13039</v>
      </c>
      <c r="C863" s="6" t="str">
        <f t="shared" si="251"/>
        <v>Active/Unavailable</v>
      </c>
      <c r="D863" s="5" t="s">
        <v>29</v>
      </c>
      <c r="E863" s="5" t="s">
        <v>3023</v>
      </c>
      <c r="F863" s="5" t="s">
        <v>714</v>
      </c>
      <c r="G863" s="5" t="str">
        <f t="shared" si="250"/>
        <v>Not Available</v>
      </c>
      <c r="H863" s="5" t="str">
        <f t="shared" si="252"/>
        <v>Not Available</v>
      </c>
      <c r="I863" s="5" t="s">
        <v>22</v>
      </c>
      <c r="J863" s="5" t="s">
        <v>3387</v>
      </c>
      <c r="K863" s="5" t="s">
        <v>3393</v>
      </c>
      <c r="L863" s="5" t="s">
        <v>22</v>
      </c>
      <c r="M863" s="5" t="s">
        <v>3425</v>
      </c>
      <c r="N863" s="5" t="s">
        <v>3024</v>
      </c>
      <c r="O863" s="5" t="s">
        <v>33</v>
      </c>
      <c r="P863" s="5" t="s">
        <v>26</v>
      </c>
      <c r="Q863" s="5" t="s">
        <v>34</v>
      </c>
      <c r="R863" s="5" t="str">
        <f t="shared" ref="R863:R864" si="253">"0000"</f>
        <v>0000</v>
      </c>
      <c r="S863" s="5">
        <v>42.342091570000001</v>
      </c>
      <c r="T863" s="5">
        <v>-71.021843349999997</v>
      </c>
    </row>
    <row r="864" spans="1:20" x14ac:dyDescent="0.3">
      <c r="A864" s="5" t="s">
        <v>3025</v>
      </c>
      <c r="B864" s="6">
        <v>29541</v>
      </c>
      <c r="C864" s="6" t="str">
        <f t="shared" si="251"/>
        <v>Active/Unavailable</v>
      </c>
      <c r="D864" s="5" t="s">
        <v>18</v>
      </c>
      <c r="E864" s="5" t="s">
        <v>3026</v>
      </c>
      <c r="F864" s="5" t="s">
        <v>643</v>
      </c>
      <c r="G864" s="5" t="str">
        <f t="shared" si="250"/>
        <v>Not Available</v>
      </c>
      <c r="H864" s="5" t="s">
        <v>890</v>
      </c>
      <c r="I864" s="5" t="s">
        <v>22</v>
      </c>
      <c r="J864" s="5" t="s">
        <v>3387</v>
      </c>
      <c r="K864" s="5" t="s">
        <v>3393</v>
      </c>
      <c r="L864" s="5" t="s">
        <v>23</v>
      </c>
      <c r="M864" s="5" t="s">
        <v>3615</v>
      </c>
      <c r="N864" s="5" t="s">
        <v>3027</v>
      </c>
      <c r="O864" s="5" t="s">
        <v>807</v>
      </c>
      <c r="P864" s="5" t="s">
        <v>26</v>
      </c>
      <c r="Q864" s="5" t="s">
        <v>317</v>
      </c>
      <c r="R864" s="5" t="str">
        <f t="shared" si="253"/>
        <v>0000</v>
      </c>
      <c r="S864" s="5">
        <v>42.2511363617432</v>
      </c>
      <c r="T864" s="5">
        <v>-70.742052979999997</v>
      </c>
    </row>
    <row r="865" spans="1:20" x14ac:dyDescent="0.3">
      <c r="A865" s="5" t="s">
        <v>3028</v>
      </c>
      <c r="B865" s="6">
        <v>10781</v>
      </c>
      <c r="C865" s="6" t="str">
        <f t="shared" si="251"/>
        <v>Active/Unavailable</v>
      </c>
      <c r="D865" s="5" t="s">
        <v>29</v>
      </c>
      <c r="E865" s="5" t="s">
        <v>2470</v>
      </c>
      <c r="F865" s="5" t="s">
        <v>296</v>
      </c>
      <c r="G865" s="5" t="str">
        <f t="shared" si="250"/>
        <v>Not Available</v>
      </c>
      <c r="H865" s="5" t="str">
        <f>"Not Available"</f>
        <v>Not Available</v>
      </c>
      <c r="I865" s="5" t="s">
        <v>22</v>
      </c>
      <c r="J865" s="5" t="s">
        <v>3387</v>
      </c>
      <c r="K865" s="5" t="s">
        <v>3393</v>
      </c>
      <c r="L865" s="5" t="s">
        <v>22</v>
      </c>
      <c r="M865" s="5" t="s">
        <v>3675</v>
      </c>
      <c r="N865" s="5" t="s">
        <v>3029</v>
      </c>
      <c r="O865" s="5" t="s">
        <v>33</v>
      </c>
      <c r="P865" s="5" t="s">
        <v>26</v>
      </c>
      <c r="Q865" s="5" t="s">
        <v>34</v>
      </c>
      <c r="R865" s="5">
        <v>2130</v>
      </c>
      <c r="S865" s="5">
        <v>42.318567452137799</v>
      </c>
      <c r="T865" s="5">
        <v>-71.083416600000007</v>
      </c>
    </row>
    <row r="866" spans="1:20" x14ac:dyDescent="0.3">
      <c r="A866" s="5" t="s">
        <v>3030</v>
      </c>
      <c r="B866" s="6">
        <v>15053</v>
      </c>
      <c r="C866" s="6" t="str">
        <f t="shared" si="251"/>
        <v>Active/Unavailable</v>
      </c>
      <c r="D866" s="5" t="s">
        <v>18</v>
      </c>
      <c r="E866" s="5" t="s">
        <v>3031</v>
      </c>
      <c r="F866" s="5" t="s">
        <v>3384</v>
      </c>
      <c r="G866" s="5" t="str">
        <f t="shared" si="250"/>
        <v>Not Available</v>
      </c>
      <c r="H866" s="5" t="s">
        <v>3032</v>
      </c>
      <c r="I866" s="5" t="s">
        <v>22</v>
      </c>
      <c r="J866" s="5" t="s">
        <v>3387</v>
      </c>
      <c r="K866" s="5" t="s">
        <v>3394</v>
      </c>
      <c r="L866" s="5" t="s">
        <v>23</v>
      </c>
      <c r="M866" s="5" t="s">
        <v>3603</v>
      </c>
      <c r="N866" s="5" t="s">
        <v>3714</v>
      </c>
      <c r="O866" s="5" t="s">
        <v>33</v>
      </c>
      <c r="P866" s="5" t="s">
        <v>26</v>
      </c>
      <c r="Q866" s="5" t="s">
        <v>34</v>
      </c>
      <c r="R866" s="5">
        <v>2111</v>
      </c>
      <c r="S866" s="5">
        <v>42.318149142893702</v>
      </c>
      <c r="T866" s="5">
        <v>-71.012284410000007</v>
      </c>
    </row>
    <row r="867" spans="1:20" x14ac:dyDescent="0.3">
      <c r="A867" s="5" t="s">
        <v>3033</v>
      </c>
      <c r="B867" s="6">
        <v>26103</v>
      </c>
      <c r="C867" s="6" t="str">
        <f t="shared" si="251"/>
        <v>Active/Unavailable</v>
      </c>
      <c r="D867" s="5" t="s">
        <v>18</v>
      </c>
      <c r="E867" s="5" t="s">
        <v>3034</v>
      </c>
      <c r="F867" s="5" t="s">
        <v>3035</v>
      </c>
      <c r="G867" s="5" t="str">
        <f t="shared" si="250"/>
        <v>Not Available</v>
      </c>
      <c r="H867" s="5" t="s">
        <v>1460</v>
      </c>
      <c r="I867" s="5" t="s">
        <v>22</v>
      </c>
      <c r="J867" s="5" t="s">
        <v>3387</v>
      </c>
      <c r="K867" s="5" t="s">
        <v>3393</v>
      </c>
      <c r="L867" s="5" t="s">
        <v>23</v>
      </c>
      <c r="M867" s="5" t="s">
        <v>3676</v>
      </c>
      <c r="N867" s="5" t="s">
        <v>3036</v>
      </c>
      <c r="O867" s="5" t="s">
        <v>33</v>
      </c>
      <c r="P867" s="5" t="s">
        <v>26</v>
      </c>
      <c r="Q867" s="5" t="s">
        <v>34</v>
      </c>
      <c r="R867" s="5">
        <v>2124</v>
      </c>
      <c r="S867" s="5">
        <v>42.374865254196202</v>
      </c>
      <c r="T867" s="5">
        <v>-71.092945670000006</v>
      </c>
    </row>
    <row r="868" spans="1:20" x14ac:dyDescent="0.3">
      <c r="A868" s="5" t="s">
        <v>3037</v>
      </c>
      <c r="B868" s="6">
        <v>22285</v>
      </c>
      <c r="C868" s="6" t="str">
        <f t="shared" si="251"/>
        <v>Active/Unavailable</v>
      </c>
      <c r="D868" s="5" t="s">
        <v>29</v>
      </c>
      <c r="E868" s="5" t="s">
        <v>3038</v>
      </c>
      <c r="F868" s="5" t="s">
        <v>2481</v>
      </c>
      <c r="G868" s="5" t="str">
        <f t="shared" si="250"/>
        <v>Not Available</v>
      </c>
      <c r="H868" s="5" t="str">
        <f t="shared" ref="H868:H869" si="254">"Not Available"</f>
        <v>Not Available</v>
      </c>
      <c r="I868" s="5" t="s">
        <v>22</v>
      </c>
      <c r="J868" s="5" t="s">
        <v>3388</v>
      </c>
      <c r="K868" s="5" t="s">
        <v>3393</v>
      </c>
      <c r="L868" s="5" t="s">
        <v>22</v>
      </c>
      <c r="M868" s="5" t="s">
        <v>3401</v>
      </c>
      <c r="N868" s="5" t="s">
        <v>3039</v>
      </c>
      <c r="O868" s="5" t="s">
        <v>33</v>
      </c>
      <c r="P868" s="5" t="s">
        <v>26</v>
      </c>
      <c r="Q868" s="5" t="s">
        <v>34</v>
      </c>
      <c r="R868" s="5">
        <v>2111</v>
      </c>
      <c r="S868" s="5">
        <v>42.383916800595102</v>
      </c>
      <c r="T868" s="5">
        <v>-71.048919940000005</v>
      </c>
    </row>
    <row r="869" spans="1:20" x14ac:dyDescent="0.3">
      <c r="A869" s="5" t="s">
        <v>3040</v>
      </c>
      <c r="B869" s="6">
        <v>10170</v>
      </c>
      <c r="C869" s="6" t="str">
        <f t="shared" si="251"/>
        <v>Active/Unavailable</v>
      </c>
      <c r="D869" s="5" t="s">
        <v>29</v>
      </c>
      <c r="E869" s="5" t="s">
        <v>3041</v>
      </c>
      <c r="F869" s="5" t="s">
        <v>1312</v>
      </c>
      <c r="G869" s="5" t="str">
        <f t="shared" si="250"/>
        <v>Not Available</v>
      </c>
      <c r="H869" s="5" t="str">
        <f t="shared" si="254"/>
        <v>Not Available</v>
      </c>
      <c r="I869" s="5" t="s">
        <v>22</v>
      </c>
      <c r="J869" s="5" t="s">
        <v>3389</v>
      </c>
      <c r="K869" s="5" t="s">
        <v>3393</v>
      </c>
      <c r="L869" s="5" t="s">
        <v>22</v>
      </c>
      <c r="M869" s="5" t="s">
        <v>3400</v>
      </c>
      <c r="N869" s="5" t="s">
        <v>3042</v>
      </c>
      <c r="O869" s="5" t="s">
        <v>33</v>
      </c>
      <c r="P869" s="5" t="s">
        <v>26</v>
      </c>
      <c r="Q869" s="5" t="s">
        <v>34</v>
      </c>
      <c r="R869" s="5">
        <v>2108</v>
      </c>
      <c r="S869" s="5">
        <v>42.3176506489608</v>
      </c>
      <c r="T869" s="5">
        <v>-71.026278750000003</v>
      </c>
    </row>
    <row r="870" spans="1:20" x14ac:dyDescent="0.3">
      <c r="A870" s="5" t="s">
        <v>3043</v>
      </c>
      <c r="B870" s="6">
        <v>8119</v>
      </c>
      <c r="C870" s="6" t="str">
        <f t="shared" si="251"/>
        <v>Active/Unavailable</v>
      </c>
      <c r="D870" s="5" t="s">
        <v>18</v>
      </c>
      <c r="E870" s="5" t="s">
        <v>3044</v>
      </c>
      <c r="F870" s="5" t="s">
        <v>1347</v>
      </c>
      <c r="G870" s="5" t="str">
        <f t="shared" si="250"/>
        <v>Not Available</v>
      </c>
      <c r="H870" s="5" t="s">
        <v>753</v>
      </c>
      <c r="I870" s="5" t="s">
        <v>22</v>
      </c>
      <c r="J870" s="5" t="s">
        <v>3389</v>
      </c>
      <c r="K870" s="5" t="s">
        <v>3393</v>
      </c>
      <c r="L870" s="5" t="s">
        <v>23</v>
      </c>
      <c r="M870" s="5" t="s">
        <v>3403</v>
      </c>
      <c r="N870" s="5" t="s">
        <v>3045</v>
      </c>
      <c r="O870" s="5" t="s">
        <v>373</v>
      </c>
      <c r="P870" s="5" t="s">
        <v>26</v>
      </c>
      <c r="Q870" s="5" t="s">
        <v>57</v>
      </c>
      <c r="R870" s="5">
        <v>2155</v>
      </c>
      <c r="S870" s="5">
        <v>42.349163028241399</v>
      </c>
      <c r="T870" s="5">
        <v>-71.128268430000006</v>
      </c>
    </row>
    <row r="871" spans="1:20" x14ac:dyDescent="0.3">
      <c r="A871" s="5" t="s">
        <v>3046</v>
      </c>
      <c r="B871" s="6">
        <v>15493</v>
      </c>
      <c r="C871" s="6" t="str">
        <f t="shared" si="251"/>
        <v>Active/Unavailable</v>
      </c>
      <c r="D871" s="5" t="s">
        <v>29</v>
      </c>
      <c r="E871" s="5" t="s">
        <v>3047</v>
      </c>
      <c r="F871" s="5" t="s">
        <v>920</v>
      </c>
      <c r="G871" s="5" t="str">
        <f t="shared" si="250"/>
        <v>Not Available</v>
      </c>
      <c r="H871" s="5" t="str">
        <f t="shared" ref="H871:H876" si="255">"Not Available"</f>
        <v>Not Available</v>
      </c>
      <c r="I871" s="5" t="s">
        <v>22</v>
      </c>
      <c r="J871" s="5" t="s">
        <v>3387</v>
      </c>
      <c r="K871" s="5" t="s">
        <v>3393</v>
      </c>
      <c r="L871" s="5" t="s">
        <v>22</v>
      </c>
      <c r="M871" s="5" t="s">
        <v>3528</v>
      </c>
      <c r="N871" s="5" t="s">
        <v>3048</v>
      </c>
      <c r="O871" s="5" t="s">
        <v>88</v>
      </c>
      <c r="P871" s="5" t="s">
        <v>26</v>
      </c>
      <c r="Q871" s="5" t="s">
        <v>57</v>
      </c>
      <c r="R871" s="5">
        <v>2138</v>
      </c>
      <c r="S871" s="5">
        <v>42.369438970761401</v>
      </c>
      <c r="T871" s="5">
        <v>-71.133052129999996</v>
      </c>
    </row>
    <row r="872" spans="1:20" x14ac:dyDescent="0.3">
      <c r="A872" s="5" t="s">
        <v>3049</v>
      </c>
      <c r="B872" s="6">
        <v>18889</v>
      </c>
      <c r="C872" s="6" t="str">
        <f t="shared" si="251"/>
        <v>Active/Unavailable</v>
      </c>
      <c r="D872" s="5" t="s">
        <v>29</v>
      </c>
      <c r="E872" s="5" t="s">
        <v>1253</v>
      </c>
      <c r="F872" s="5" t="s">
        <v>2536</v>
      </c>
      <c r="G872" s="5" t="str">
        <f t="shared" si="250"/>
        <v>Not Available</v>
      </c>
      <c r="H872" s="5" t="str">
        <f t="shared" si="255"/>
        <v>Not Available</v>
      </c>
      <c r="I872" s="5" t="s">
        <v>22</v>
      </c>
      <c r="J872" s="5" t="s">
        <v>3387</v>
      </c>
      <c r="K872" s="5" t="s">
        <v>3393</v>
      </c>
      <c r="L872" s="5" t="s">
        <v>22</v>
      </c>
      <c r="M872" s="5" t="s">
        <v>3677</v>
      </c>
      <c r="N872" s="5" t="s">
        <v>3050</v>
      </c>
      <c r="O872" s="5" t="s">
        <v>33</v>
      </c>
      <c r="P872" s="5" t="s">
        <v>26</v>
      </c>
      <c r="Q872" s="5" t="s">
        <v>34</v>
      </c>
      <c r="R872" s="5">
        <v>2121</v>
      </c>
      <c r="S872" s="5">
        <v>42.339466770000001</v>
      </c>
      <c r="T872" s="5">
        <v>-71.128620659999996</v>
      </c>
    </row>
    <row r="873" spans="1:20" x14ac:dyDescent="0.3">
      <c r="A873" s="5" t="s">
        <v>3051</v>
      </c>
      <c r="B873" s="6">
        <v>9065</v>
      </c>
      <c r="C873" s="6" t="str">
        <f t="shared" si="251"/>
        <v>Active/Unavailable</v>
      </c>
      <c r="D873" s="5" t="s">
        <v>29</v>
      </c>
      <c r="E873" s="5" t="s">
        <v>668</v>
      </c>
      <c r="F873" s="5" t="s">
        <v>20</v>
      </c>
      <c r="G873" s="5" t="str">
        <f t="shared" si="250"/>
        <v>Not Available</v>
      </c>
      <c r="H873" s="5" t="str">
        <f t="shared" si="255"/>
        <v>Not Available</v>
      </c>
      <c r="I873" s="5" t="s">
        <v>22</v>
      </c>
      <c r="J873" s="5" t="s">
        <v>3387</v>
      </c>
      <c r="K873" s="5" t="s">
        <v>3393</v>
      </c>
      <c r="L873" s="5" t="s">
        <v>22</v>
      </c>
      <c r="M873" s="5" t="s">
        <v>3497</v>
      </c>
      <c r="N873" s="5" t="s">
        <v>3052</v>
      </c>
      <c r="O873" s="5" t="s">
        <v>33</v>
      </c>
      <c r="P873" s="5" t="s">
        <v>26</v>
      </c>
      <c r="Q873" s="5" t="s">
        <v>34</v>
      </c>
      <c r="R873" s="5">
        <v>2125</v>
      </c>
      <c r="S873" s="5">
        <v>42.338816295451402</v>
      </c>
      <c r="T873" s="5">
        <v>-71.080993449999994</v>
      </c>
    </row>
    <row r="874" spans="1:20" x14ac:dyDescent="0.3">
      <c r="A874" s="5" t="s">
        <v>3053</v>
      </c>
      <c r="B874" s="6">
        <v>22000</v>
      </c>
      <c r="C874" s="6" t="str">
        <f t="shared" si="251"/>
        <v>Active/Unavailable</v>
      </c>
      <c r="D874" s="5" t="s">
        <v>29</v>
      </c>
      <c r="E874" s="5" t="s">
        <v>3054</v>
      </c>
      <c r="F874" s="5" t="s">
        <v>572</v>
      </c>
      <c r="G874" s="5" t="str">
        <f t="shared" si="250"/>
        <v>Not Available</v>
      </c>
      <c r="H874" s="5" t="str">
        <f t="shared" si="255"/>
        <v>Not Available</v>
      </c>
      <c r="I874" s="5" t="s">
        <v>22</v>
      </c>
      <c r="J874" s="5" t="s">
        <v>3387</v>
      </c>
      <c r="K874" s="5" t="s">
        <v>3393</v>
      </c>
      <c r="L874" s="5" t="s">
        <v>22</v>
      </c>
      <c r="M874" s="5" t="s">
        <v>3618</v>
      </c>
      <c r="N874" s="5" t="s">
        <v>3055</v>
      </c>
      <c r="O874" s="5" t="s">
        <v>574</v>
      </c>
      <c r="P874" s="5" t="s">
        <v>26</v>
      </c>
      <c r="Q874" s="5" t="s">
        <v>27</v>
      </c>
      <c r="R874" s="5">
        <v>2215</v>
      </c>
      <c r="S874" s="5">
        <v>42.348131279128602</v>
      </c>
      <c r="T874" s="5">
        <v>-71.058641989999998</v>
      </c>
    </row>
    <row r="875" spans="1:20" x14ac:dyDescent="0.3">
      <c r="A875" s="5" t="s">
        <v>3056</v>
      </c>
      <c r="B875" s="6">
        <v>8322</v>
      </c>
      <c r="C875" s="6" t="str">
        <f t="shared" si="251"/>
        <v>Active/Unavailable</v>
      </c>
      <c r="D875" s="5" t="s">
        <v>29</v>
      </c>
      <c r="E875" s="5" t="s">
        <v>2805</v>
      </c>
      <c r="F875" s="5" t="s">
        <v>727</v>
      </c>
      <c r="G875" s="5" t="str">
        <f t="shared" si="250"/>
        <v>Not Available</v>
      </c>
      <c r="H875" s="5" t="str">
        <f t="shared" si="255"/>
        <v>Not Available</v>
      </c>
      <c r="I875" s="5" t="s">
        <v>22</v>
      </c>
      <c r="J875" s="5" t="s">
        <v>3387</v>
      </c>
      <c r="K875" s="5" t="s">
        <v>3393</v>
      </c>
      <c r="L875" s="5" t="s">
        <v>22</v>
      </c>
      <c r="M875" s="5" t="s">
        <v>3427</v>
      </c>
      <c r="N875" s="5" t="s">
        <v>3057</v>
      </c>
      <c r="O875" s="5" t="s">
        <v>56</v>
      </c>
      <c r="P875" s="5" t="s">
        <v>26</v>
      </c>
      <c r="Q875" s="5" t="s">
        <v>57</v>
      </c>
      <c r="R875" s="5">
        <v>2141</v>
      </c>
      <c r="S875" s="5">
        <v>42.412132626821403</v>
      </c>
      <c r="T875" s="5">
        <v>-71.133221849999998</v>
      </c>
    </row>
    <row r="876" spans="1:20" x14ac:dyDescent="0.3">
      <c r="A876" s="5" t="s">
        <v>3058</v>
      </c>
      <c r="B876" s="6">
        <v>28155</v>
      </c>
      <c r="C876" s="6" t="str">
        <f t="shared" si="251"/>
        <v>Active/Unavailable</v>
      </c>
      <c r="D876" s="5" t="s">
        <v>29</v>
      </c>
      <c r="E876" s="5" t="s">
        <v>3059</v>
      </c>
      <c r="F876" s="5" t="s">
        <v>1114</v>
      </c>
      <c r="G876" s="5" t="str">
        <f t="shared" si="250"/>
        <v>Not Available</v>
      </c>
      <c r="H876" s="5" t="str">
        <f t="shared" si="255"/>
        <v>Not Available</v>
      </c>
      <c r="I876" s="5" t="s">
        <v>22</v>
      </c>
      <c r="J876" s="5" t="s">
        <v>3389</v>
      </c>
      <c r="K876" s="5" t="s">
        <v>3393</v>
      </c>
      <c r="L876" s="5" t="s">
        <v>22</v>
      </c>
      <c r="M876" s="5" t="s">
        <v>3400</v>
      </c>
      <c r="N876" s="5" t="s">
        <v>3060</v>
      </c>
      <c r="O876" s="5" t="s">
        <v>33</v>
      </c>
      <c r="P876" s="5" t="s">
        <v>26</v>
      </c>
      <c r="Q876" s="5" t="s">
        <v>34</v>
      </c>
      <c r="R876" s="5">
        <v>2127</v>
      </c>
      <c r="S876" s="5">
        <v>42.351720387597197</v>
      </c>
      <c r="T876" s="5">
        <v>-71.080770369999996</v>
      </c>
    </row>
    <row r="877" spans="1:20" x14ac:dyDescent="0.3">
      <c r="A877" s="5" t="s">
        <v>3061</v>
      </c>
      <c r="B877" s="6">
        <v>19173</v>
      </c>
      <c r="C877" s="6" t="str">
        <f t="shared" si="251"/>
        <v>Active/Unavailable</v>
      </c>
      <c r="D877" s="5" t="s">
        <v>18</v>
      </c>
      <c r="E877" s="5" t="s">
        <v>2686</v>
      </c>
      <c r="F877" s="5" t="s">
        <v>3062</v>
      </c>
      <c r="G877" s="5" t="str">
        <f t="shared" si="250"/>
        <v>Not Available</v>
      </c>
      <c r="H877" s="5" t="s">
        <v>3063</v>
      </c>
      <c r="I877" s="5" t="s">
        <v>22</v>
      </c>
      <c r="J877" s="5" t="s">
        <v>3387</v>
      </c>
      <c r="K877" s="5" t="s">
        <v>3394</v>
      </c>
      <c r="L877" s="5" t="s">
        <v>23</v>
      </c>
      <c r="M877" s="5" t="s">
        <v>3449</v>
      </c>
      <c r="N877" s="5" t="s">
        <v>3064</v>
      </c>
      <c r="O877" s="5" t="s">
        <v>172</v>
      </c>
      <c r="P877" s="5" t="s">
        <v>26</v>
      </c>
      <c r="Q877" s="5" t="s">
        <v>34</v>
      </c>
      <c r="R877" s="5">
        <v>2150</v>
      </c>
      <c r="S877" s="5">
        <v>42.364930540722902</v>
      </c>
      <c r="T877" s="5">
        <v>-71.061643959999998</v>
      </c>
    </row>
    <row r="878" spans="1:20" x14ac:dyDescent="0.3">
      <c r="A878" s="5" t="s">
        <v>3065</v>
      </c>
      <c r="B878" s="6">
        <v>8141</v>
      </c>
      <c r="C878" s="6" t="str">
        <f t="shared" si="251"/>
        <v>Active/Unavailable</v>
      </c>
      <c r="D878" s="5" t="s">
        <v>29</v>
      </c>
      <c r="E878" s="5" t="s">
        <v>3066</v>
      </c>
      <c r="F878" s="5" t="s">
        <v>683</v>
      </c>
      <c r="G878" s="5" t="str">
        <f t="shared" si="250"/>
        <v>Not Available</v>
      </c>
      <c r="H878" s="5" t="str">
        <f>"Not Available"</f>
        <v>Not Available</v>
      </c>
      <c r="I878" s="5" t="s">
        <v>65</v>
      </c>
      <c r="J878" s="5" t="s">
        <v>3387</v>
      </c>
      <c r="K878" s="5" t="s">
        <v>3393</v>
      </c>
      <c r="L878" s="5" t="s">
        <v>22</v>
      </c>
      <c r="M878" s="5" t="s">
        <v>3678</v>
      </c>
      <c r="N878" s="5" t="s">
        <v>3067</v>
      </c>
      <c r="O878" s="5" t="s">
        <v>316</v>
      </c>
      <c r="P878" s="5" t="s">
        <v>26</v>
      </c>
      <c r="Q878" s="5" t="s">
        <v>317</v>
      </c>
      <c r="R878" s="5">
        <v>2043</v>
      </c>
      <c r="S878" s="5">
        <v>42.254282330348801</v>
      </c>
      <c r="T878" s="5">
        <v>-70.900255520000002</v>
      </c>
    </row>
    <row r="879" spans="1:20" x14ac:dyDescent="0.3">
      <c r="A879" s="5" t="s">
        <v>3068</v>
      </c>
      <c r="B879" s="6">
        <v>18367</v>
      </c>
      <c r="C879" s="6" t="str">
        <f t="shared" si="251"/>
        <v>Active/Unavailable</v>
      </c>
      <c r="D879" s="5" t="s">
        <v>18</v>
      </c>
      <c r="E879" s="5" t="s">
        <v>3069</v>
      </c>
      <c r="F879" s="5" t="s">
        <v>870</v>
      </c>
      <c r="G879" s="5" t="str">
        <f t="shared" si="250"/>
        <v>Not Available</v>
      </c>
      <c r="H879" s="5" t="s">
        <v>234</v>
      </c>
      <c r="I879" s="5" t="s">
        <v>22</v>
      </c>
      <c r="J879" s="5" t="s">
        <v>3387</v>
      </c>
      <c r="K879" s="5" t="s">
        <v>3393</v>
      </c>
      <c r="L879" s="5" t="s">
        <v>23</v>
      </c>
      <c r="M879" s="5" t="s">
        <v>3408</v>
      </c>
      <c r="N879" s="5" t="s">
        <v>3070</v>
      </c>
      <c r="O879" s="5" t="s">
        <v>574</v>
      </c>
      <c r="P879" s="5" t="s">
        <v>26</v>
      </c>
      <c r="Q879" s="5" t="s">
        <v>27</v>
      </c>
      <c r="R879" s="5">
        <v>2467</v>
      </c>
      <c r="S879" s="5">
        <v>42.333514042747701</v>
      </c>
      <c r="T879" s="5">
        <v>-71.123953689999993</v>
      </c>
    </row>
    <row r="880" spans="1:20" x14ac:dyDescent="0.3">
      <c r="A880" s="5" t="s">
        <v>3071</v>
      </c>
      <c r="B880" s="6">
        <v>14075</v>
      </c>
      <c r="C880" s="6" t="str">
        <f t="shared" si="251"/>
        <v>Active/Unavailable</v>
      </c>
      <c r="D880" s="5" t="s">
        <v>18</v>
      </c>
      <c r="E880" s="5" t="s">
        <v>3072</v>
      </c>
      <c r="F880" s="5" t="s">
        <v>476</v>
      </c>
      <c r="G880" s="5" t="str">
        <f t="shared" si="250"/>
        <v>Not Available</v>
      </c>
      <c r="H880" s="5" t="s">
        <v>296</v>
      </c>
      <c r="I880" s="5" t="s">
        <v>22</v>
      </c>
      <c r="J880" s="5" t="s">
        <v>3387</v>
      </c>
      <c r="K880" s="5" t="s">
        <v>3394</v>
      </c>
      <c r="L880" s="5" t="s">
        <v>23</v>
      </c>
      <c r="M880" s="5" t="s">
        <v>3482</v>
      </c>
      <c r="N880" s="5" t="s">
        <v>3073</v>
      </c>
      <c r="O880" s="5" t="s">
        <v>136</v>
      </c>
      <c r="P880" s="5" t="s">
        <v>26</v>
      </c>
      <c r="Q880" s="5" t="s">
        <v>27</v>
      </c>
      <c r="R880" s="5" t="str">
        <f t="shared" ref="R880:R881" si="256">"0000"</f>
        <v>0000</v>
      </c>
      <c r="S880" s="5">
        <v>42.294797303392698</v>
      </c>
      <c r="T880" s="5">
        <v>-70.824184770000002</v>
      </c>
    </row>
    <row r="881" spans="1:20" x14ac:dyDescent="0.3">
      <c r="A881" s="5" t="s">
        <v>3074</v>
      </c>
      <c r="B881" s="6">
        <v>30960</v>
      </c>
      <c r="C881" s="6" t="str">
        <f t="shared" si="251"/>
        <v>Active/Unavailable</v>
      </c>
      <c r="D881" s="5" t="s">
        <v>18</v>
      </c>
      <c r="E881" s="5" t="s">
        <v>3075</v>
      </c>
      <c r="F881" s="5" t="s">
        <v>1161</v>
      </c>
      <c r="G881" s="5" t="str">
        <f t="shared" si="250"/>
        <v>Not Available</v>
      </c>
      <c r="H881" s="5" t="s">
        <v>848</v>
      </c>
      <c r="I881" s="5" t="s">
        <v>22</v>
      </c>
      <c r="J881" s="5" t="s">
        <v>3387</v>
      </c>
      <c r="K881" s="5" t="s">
        <v>3394</v>
      </c>
      <c r="L881" s="5" t="s">
        <v>23</v>
      </c>
      <c r="M881" s="5" t="s">
        <v>3400</v>
      </c>
      <c r="N881" s="5" t="s">
        <v>3076</v>
      </c>
      <c r="O881" s="5" t="s">
        <v>56</v>
      </c>
      <c r="P881" s="5" t="s">
        <v>26</v>
      </c>
      <c r="Q881" s="5" t="s">
        <v>57</v>
      </c>
      <c r="R881" s="5" t="str">
        <f t="shared" si="256"/>
        <v>0000</v>
      </c>
      <c r="S881" s="5">
        <v>42.380369938546899</v>
      </c>
      <c r="T881" s="5">
        <v>-71.039330739999997</v>
      </c>
    </row>
    <row r="882" spans="1:20" x14ac:dyDescent="0.3">
      <c r="A882" s="5" t="s">
        <v>3077</v>
      </c>
      <c r="B882" s="6">
        <v>31730</v>
      </c>
      <c r="C882" s="6" t="str">
        <f t="shared" si="251"/>
        <v>Active/Unavailable</v>
      </c>
      <c r="D882" s="5" t="s">
        <v>29</v>
      </c>
      <c r="E882" s="5" t="s">
        <v>3078</v>
      </c>
      <c r="F882" s="5" t="s">
        <v>1008</v>
      </c>
      <c r="G882" s="5" t="str">
        <f t="shared" si="250"/>
        <v>Not Available</v>
      </c>
      <c r="H882" s="5" t="str">
        <f t="shared" ref="H882:H883" si="257">"Not Available"</f>
        <v>Not Available</v>
      </c>
      <c r="I882" s="5" t="s">
        <v>22</v>
      </c>
      <c r="J882" s="5" t="s">
        <v>3387</v>
      </c>
      <c r="K882" s="5" t="s">
        <v>3393</v>
      </c>
      <c r="L882" s="5" t="s">
        <v>22</v>
      </c>
      <c r="M882" s="5" t="s">
        <v>3576</v>
      </c>
      <c r="N882" s="5" t="s">
        <v>3079</v>
      </c>
      <c r="O882" s="5" t="s">
        <v>172</v>
      </c>
      <c r="P882" s="5" t="s">
        <v>26</v>
      </c>
      <c r="Q882" s="5" t="s">
        <v>34</v>
      </c>
      <c r="R882" s="5">
        <v>2151</v>
      </c>
      <c r="S882" s="5">
        <v>42.392403266127602</v>
      </c>
      <c r="T882" s="5">
        <v>-71.025770320000007</v>
      </c>
    </row>
    <row r="883" spans="1:20" x14ac:dyDescent="0.3">
      <c r="A883" s="5" t="s">
        <v>3080</v>
      </c>
      <c r="B883" s="6">
        <v>24600</v>
      </c>
      <c r="C883" s="6" t="str">
        <f t="shared" si="251"/>
        <v>Active/Unavailable</v>
      </c>
      <c r="D883" s="5" t="s">
        <v>29</v>
      </c>
      <c r="E883" s="5" t="s">
        <v>2373</v>
      </c>
      <c r="F883" s="5" t="s">
        <v>1051</v>
      </c>
      <c r="G883" s="5" t="str">
        <f t="shared" si="250"/>
        <v>Not Available</v>
      </c>
      <c r="H883" s="5" t="str">
        <f t="shared" si="257"/>
        <v>Not Available</v>
      </c>
      <c r="I883" s="5" t="s">
        <v>22</v>
      </c>
      <c r="J883" s="5" t="s">
        <v>3387</v>
      </c>
      <c r="K883" s="5" t="s">
        <v>3393</v>
      </c>
      <c r="L883" s="5" t="s">
        <v>22</v>
      </c>
      <c r="M883" s="5" t="s">
        <v>3576</v>
      </c>
      <c r="N883" s="5" t="s">
        <v>3081</v>
      </c>
      <c r="O883" s="5" t="s">
        <v>33</v>
      </c>
      <c r="P883" s="5" t="s">
        <v>26</v>
      </c>
      <c r="Q883" s="5" t="s">
        <v>34</v>
      </c>
      <c r="R883" s="5">
        <v>2127</v>
      </c>
      <c r="S883" s="5">
        <v>42.371265466001098</v>
      </c>
      <c r="T883" s="5">
        <v>-71.065575260000003</v>
      </c>
    </row>
    <row r="884" spans="1:20" x14ac:dyDescent="0.3">
      <c r="A884" s="5" t="s">
        <v>3082</v>
      </c>
      <c r="B884" s="6">
        <v>14496</v>
      </c>
      <c r="C884" s="6" t="str">
        <f t="shared" si="251"/>
        <v>Active/Unavailable</v>
      </c>
      <c r="D884" s="5" t="s">
        <v>18</v>
      </c>
      <c r="E884" s="5" t="s">
        <v>3083</v>
      </c>
      <c r="F884" s="5" t="s">
        <v>2123</v>
      </c>
      <c r="G884" s="5" t="str">
        <f t="shared" si="250"/>
        <v>Not Available</v>
      </c>
      <c r="H884" s="5" t="s">
        <v>1427</v>
      </c>
      <c r="I884" s="5" t="s">
        <v>22</v>
      </c>
      <c r="J884" s="5" t="s">
        <v>3387</v>
      </c>
      <c r="K884" s="5" t="s">
        <v>3393</v>
      </c>
      <c r="L884" s="5" t="s">
        <v>23</v>
      </c>
      <c r="M884" s="5" t="s">
        <v>3547</v>
      </c>
      <c r="N884" s="5" t="s">
        <v>3084</v>
      </c>
      <c r="O884" s="5" t="s">
        <v>574</v>
      </c>
      <c r="P884" s="5" t="s">
        <v>26</v>
      </c>
      <c r="Q884" s="5" t="s">
        <v>27</v>
      </c>
      <c r="R884" s="5">
        <v>2467</v>
      </c>
      <c r="S884" s="5">
        <v>42.336954705438401</v>
      </c>
      <c r="T884" s="5">
        <v>-71.058708499999995</v>
      </c>
    </row>
    <row r="885" spans="1:20" x14ac:dyDescent="0.3">
      <c r="A885" s="5" t="s">
        <v>3085</v>
      </c>
      <c r="B885" s="6">
        <v>24864</v>
      </c>
      <c r="C885" s="6" t="str">
        <f t="shared" si="251"/>
        <v>Active/Unavailable</v>
      </c>
      <c r="D885" s="5" t="s">
        <v>100</v>
      </c>
      <c r="E885" s="5" t="s">
        <v>3086</v>
      </c>
      <c r="F885" s="5" t="s">
        <v>1688</v>
      </c>
      <c r="G885" s="5" t="str">
        <f t="shared" si="250"/>
        <v>Not Available</v>
      </c>
      <c r="H885" s="5" t="str">
        <f>"Not Available"</f>
        <v>Not Available</v>
      </c>
      <c r="I885" s="5" t="s">
        <v>65</v>
      </c>
      <c r="J885" s="5" t="s">
        <v>3387</v>
      </c>
      <c r="K885" s="5" t="s">
        <v>3393</v>
      </c>
      <c r="L885" s="5" t="s">
        <v>23</v>
      </c>
      <c r="M885" s="5" t="s">
        <v>3679</v>
      </c>
      <c r="N885" s="5" t="s">
        <v>3087</v>
      </c>
      <c r="O885" s="5" t="s">
        <v>807</v>
      </c>
      <c r="P885" s="5" t="s">
        <v>26</v>
      </c>
      <c r="Q885" s="5" t="s">
        <v>317</v>
      </c>
      <c r="R885" s="5">
        <v>2066</v>
      </c>
      <c r="S885" s="5">
        <v>42.218306932253299</v>
      </c>
      <c r="T885" s="5">
        <v>-70.734715260000002</v>
      </c>
    </row>
    <row r="886" spans="1:20" x14ac:dyDescent="0.3">
      <c r="A886" s="5" t="s">
        <v>3088</v>
      </c>
      <c r="B886" s="6">
        <v>29225</v>
      </c>
      <c r="C886" s="6" t="str">
        <f t="shared" si="251"/>
        <v>Active/Unavailable</v>
      </c>
      <c r="D886" s="5" t="s">
        <v>18</v>
      </c>
      <c r="E886" s="5" t="s">
        <v>3089</v>
      </c>
      <c r="F886" s="5" t="s">
        <v>3090</v>
      </c>
      <c r="G886" s="5" t="str">
        <f t="shared" si="250"/>
        <v>Not Available</v>
      </c>
      <c r="H886" s="5" t="s">
        <v>3091</v>
      </c>
      <c r="I886" s="5" t="s">
        <v>22</v>
      </c>
      <c r="J886" s="5" t="s">
        <v>3387</v>
      </c>
      <c r="K886" s="5" t="s">
        <v>3394</v>
      </c>
      <c r="L886" s="5" t="s">
        <v>23</v>
      </c>
      <c r="M886" s="5" t="s">
        <v>3426</v>
      </c>
      <c r="N886" s="5" t="s">
        <v>3092</v>
      </c>
      <c r="O886" s="5" t="s">
        <v>33</v>
      </c>
      <c r="P886" s="5" t="s">
        <v>26</v>
      </c>
      <c r="Q886" s="5" t="s">
        <v>34</v>
      </c>
      <c r="R886" s="5">
        <v>2108</v>
      </c>
      <c r="S886" s="5">
        <v>42.290102149653599</v>
      </c>
      <c r="T886" s="5">
        <v>-71.053289579999998</v>
      </c>
    </row>
    <row r="887" spans="1:20" x14ac:dyDescent="0.3">
      <c r="A887" s="5" t="s">
        <v>3093</v>
      </c>
      <c r="B887" s="6">
        <v>17019</v>
      </c>
      <c r="C887" s="6">
        <v>40941</v>
      </c>
      <c r="D887" s="5" t="s">
        <v>18</v>
      </c>
      <c r="E887" s="5" t="s">
        <v>3094</v>
      </c>
      <c r="F887" s="5" t="s">
        <v>97</v>
      </c>
      <c r="G887" s="5" t="str">
        <f t="shared" si="250"/>
        <v>Not Available</v>
      </c>
      <c r="H887" s="5" t="s">
        <v>149</v>
      </c>
      <c r="I887" s="5" t="s">
        <v>22</v>
      </c>
      <c r="J887" s="5" t="s">
        <v>3387</v>
      </c>
      <c r="K887" s="5" t="s">
        <v>3394</v>
      </c>
      <c r="L887" s="5" t="s">
        <v>23</v>
      </c>
      <c r="M887" s="5" t="s">
        <v>3675</v>
      </c>
      <c r="N887" s="5" t="s">
        <v>3095</v>
      </c>
      <c r="O887" s="5" t="s">
        <v>33</v>
      </c>
      <c r="P887" s="5" t="s">
        <v>26</v>
      </c>
      <c r="Q887" s="5" t="s">
        <v>34</v>
      </c>
      <c r="R887" s="5">
        <v>2203</v>
      </c>
      <c r="S887" s="5">
        <v>42.339299300609497</v>
      </c>
      <c r="T887" s="5">
        <v>-71.041298209999994</v>
      </c>
    </row>
    <row r="888" spans="1:20" x14ac:dyDescent="0.3">
      <c r="A888" s="5" t="s">
        <v>3096</v>
      </c>
      <c r="B888" s="6">
        <v>17019</v>
      </c>
      <c r="C888" s="6" t="str">
        <f t="shared" ref="C888:C896" si="258">"Active/Unavailable"</f>
        <v>Active/Unavailable</v>
      </c>
      <c r="D888" s="5" t="s">
        <v>18</v>
      </c>
      <c r="E888" s="5" t="s">
        <v>3097</v>
      </c>
      <c r="F888" s="5" t="s">
        <v>1688</v>
      </c>
      <c r="G888" s="5" t="str">
        <f t="shared" si="250"/>
        <v>Not Available</v>
      </c>
      <c r="H888" s="5" t="s">
        <v>816</v>
      </c>
      <c r="I888" s="5" t="s">
        <v>22</v>
      </c>
      <c r="J888" s="5" t="s">
        <v>3387</v>
      </c>
      <c r="K888" s="5" t="s">
        <v>3394</v>
      </c>
      <c r="L888" s="5" t="s">
        <v>23</v>
      </c>
      <c r="M888" s="5" t="s">
        <v>3442</v>
      </c>
      <c r="N888" s="5" t="s">
        <v>3098</v>
      </c>
      <c r="O888" s="5" t="s">
        <v>33</v>
      </c>
      <c r="P888" s="5" t="s">
        <v>26</v>
      </c>
      <c r="Q888" s="5" t="s">
        <v>34</v>
      </c>
      <c r="R888" s="5">
        <v>2152</v>
      </c>
      <c r="S888" s="5">
        <v>42.366231028159099</v>
      </c>
      <c r="T888" s="5">
        <v>-71.082586849999998</v>
      </c>
    </row>
    <row r="889" spans="1:20" x14ac:dyDescent="0.3">
      <c r="A889" s="5" t="s">
        <v>3099</v>
      </c>
      <c r="B889" s="6">
        <v>16294</v>
      </c>
      <c r="C889" s="6" t="str">
        <f t="shared" si="258"/>
        <v>Active/Unavailable</v>
      </c>
      <c r="D889" s="5" t="s">
        <v>18</v>
      </c>
      <c r="E889" s="5" t="s">
        <v>1447</v>
      </c>
      <c r="F889" s="5" t="s">
        <v>197</v>
      </c>
      <c r="G889" s="5" t="str">
        <f t="shared" si="250"/>
        <v>Not Available</v>
      </c>
      <c r="H889" s="5" t="s">
        <v>2060</v>
      </c>
      <c r="I889" s="5" t="s">
        <v>22</v>
      </c>
      <c r="J889" s="5" t="s">
        <v>3387</v>
      </c>
      <c r="K889" s="5" t="s">
        <v>3393</v>
      </c>
      <c r="L889" s="5" t="s">
        <v>23</v>
      </c>
      <c r="M889" s="5" t="s">
        <v>3547</v>
      </c>
      <c r="N889" s="5" t="s">
        <v>3100</v>
      </c>
      <c r="O889" s="5" t="s">
        <v>25</v>
      </c>
      <c r="P889" s="5" t="s">
        <v>26</v>
      </c>
      <c r="Q889" s="5" t="s">
        <v>27</v>
      </c>
      <c r="R889" s="5" t="str">
        <f>"0000"</f>
        <v>0000</v>
      </c>
      <c r="S889" s="5">
        <v>42.303191587868497</v>
      </c>
      <c r="T889" s="5">
        <v>-70.975028350000002</v>
      </c>
    </row>
    <row r="890" spans="1:20" x14ac:dyDescent="0.3">
      <c r="A890" s="5" t="s">
        <v>3101</v>
      </c>
      <c r="B890" s="6">
        <v>30052</v>
      </c>
      <c r="C890" s="6" t="str">
        <f t="shared" si="258"/>
        <v>Active/Unavailable</v>
      </c>
      <c r="D890" s="5" t="s">
        <v>29</v>
      </c>
      <c r="E890" s="5" t="s">
        <v>2223</v>
      </c>
      <c r="F890" s="5" t="s">
        <v>913</v>
      </c>
      <c r="G890" s="5" t="str">
        <f t="shared" si="250"/>
        <v>Not Available</v>
      </c>
      <c r="H890" s="5" t="str">
        <f t="shared" ref="H890:H891" si="259">"Not Available"</f>
        <v>Not Available</v>
      </c>
      <c r="I890" s="5" t="s">
        <v>65</v>
      </c>
      <c r="J890" s="5" t="s">
        <v>3388</v>
      </c>
      <c r="K890" s="5" t="s">
        <v>3393</v>
      </c>
      <c r="L890" s="5" t="s">
        <v>22</v>
      </c>
      <c r="M890" s="5" t="s">
        <v>3680</v>
      </c>
      <c r="N890" s="5" t="s">
        <v>3102</v>
      </c>
      <c r="O890" s="5" t="s">
        <v>373</v>
      </c>
      <c r="P890" s="5" t="s">
        <v>26</v>
      </c>
      <c r="Q890" s="5" t="s">
        <v>57</v>
      </c>
      <c r="R890" s="5">
        <v>2145</v>
      </c>
      <c r="S890" s="5">
        <v>42.4209535458589</v>
      </c>
      <c r="T890" s="5">
        <v>-71.13983546</v>
      </c>
    </row>
    <row r="891" spans="1:20" x14ac:dyDescent="0.3">
      <c r="A891" s="5" t="s">
        <v>3103</v>
      </c>
      <c r="B891" s="6">
        <v>27817</v>
      </c>
      <c r="C891" s="6" t="str">
        <f t="shared" si="258"/>
        <v>Active/Unavailable</v>
      </c>
      <c r="D891" s="5" t="s">
        <v>29</v>
      </c>
      <c r="E891" s="5" t="s">
        <v>3104</v>
      </c>
      <c r="F891" s="5" t="s">
        <v>731</v>
      </c>
      <c r="G891" s="5" t="str">
        <f t="shared" ref="G891:G909" si="260">"Not Available"</f>
        <v>Not Available</v>
      </c>
      <c r="H891" s="5" t="str">
        <f t="shared" si="259"/>
        <v>Not Available</v>
      </c>
      <c r="I891" s="5" t="s">
        <v>22</v>
      </c>
      <c r="J891" s="5" t="s">
        <v>3387</v>
      </c>
      <c r="K891" s="5" t="s">
        <v>3393</v>
      </c>
      <c r="L891" s="5" t="s">
        <v>22</v>
      </c>
      <c r="M891" s="5" t="s">
        <v>3412</v>
      </c>
      <c r="N891" s="5" t="s">
        <v>3105</v>
      </c>
      <c r="O891" s="5" t="s">
        <v>33</v>
      </c>
      <c r="P891" s="5" t="s">
        <v>26</v>
      </c>
      <c r="Q891" s="5" t="s">
        <v>34</v>
      </c>
      <c r="R891" s="5">
        <v>2128</v>
      </c>
      <c r="S891" s="5">
        <v>42.380418416434999</v>
      </c>
      <c r="T891" s="5">
        <v>-71.048578000000006</v>
      </c>
    </row>
    <row r="892" spans="1:20" x14ac:dyDescent="0.3">
      <c r="A892" s="5" t="s">
        <v>3106</v>
      </c>
      <c r="B892" s="6">
        <v>13052</v>
      </c>
      <c r="C892" s="6" t="str">
        <f t="shared" si="258"/>
        <v>Active/Unavailable</v>
      </c>
      <c r="D892" s="5" t="s">
        <v>18</v>
      </c>
      <c r="E892" s="5" t="s">
        <v>1828</v>
      </c>
      <c r="F892" s="5" t="s">
        <v>1432</v>
      </c>
      <c r="G892" s="5" t="str">
        <f t="shared" si="260"/>
        <v>Not Available</v>
      </c>
      <c r="H892" s="5" t="s">
        <v>410</v>
      </c>
      <c r="I892" s="5" t="s">
        <v>22</v>
      </c>
      <c r="J892" s="5" t="s">
        <v>3389</v>
      </c>
      <c r="K892" s="5" t="s">
        <v>3393</v>
      </c>
      <c r="L892" s="5" t="s">
        <v>23</v>
      </c>
      <c r="M892" s="5" t="s">
        <v>3529</v>
      </c>
      <c r="N892" s="5" t="s">
        <v>3107</v>
      </c>
      <c r="O892" s="5" t="s">
        <v>574</v>
      </c>
      <c r="P892" s="5" t="s">
        <v>26</v>
      </c>
      <c r="Q892" s="5" t="s">
        <v>27</v>
      </c>
      <c r="R892" s="5" t="str">
        <f t="shared" ref="R892:R893" si="261">"0000"</f>
        <v>0000</v>
      </c>
      <c r="S892" s="5">
        <v>42.397105277187599</v>
      </c>
      <c r="T892" s="5">
        <v>-71.093627699999999</v>
      </c>
    </row>
    <row r="893" spans="1:20" x14ac:dyDescent="0.3">
      <c r="A893" s="5" t="s">
        <v>3108</v>
      </c>
      <c r="B893" s="6">
        <v>25722</v>
      </c>
      <c r="C893" s="6" t="str">
        <f t="shared" si="258"/>
        <v>Active/Unavailable</v>
      </c>
      <c r="D893" s="5" t="s">
        <v>18</v>
      </c>
      <c r="E893" s="5" t="s">
        <v>3109</v>
      </c>
      <c r="F893" s="5" t="s">
        <v>3385</v>
      </c>
      <c r="G893" s="5" t="str">
        <f t="shared" si="260"/>
        <v>Not Available</v>
      </c>
      <c r="H893" s="5" t="s">
        <v>3110</v>
      </c>
      <c r="I893" s="5" t="s">
        <v>22</v>
      </c>
      <c r="J893" s="5" t="s">
        <v>3387</v>
      </c>
      <c r="K893" s="5" t="s">
        <v>3394</v>
      </c>
      <c r="L893" s="5" t="s">
        <v>23</v>
      </c>
      <c r="M893" s="5" t="s">
        <v>3511</v>
      </c>
      <c r="N893" s="5" t="s">
        <v>3111</v>
      </c>
      <c r="O893" s="5" t="s">
        <v>33</v>
      </c>
      <c r="P893" s="5" t="s">
        <v>26</v>
      </c>
      <c r="Q893" s="5" t="s">
        <v>34</v>
      </c>
      <c r="R893" s="5" t="str">
        <f t="shared" si="261"/>
        <v>0000</v>
      </c>
      <c r="S893" s="5">
        <v>42.352526644955397</v>
      </c>
      <c r="T893" s="5">
        <v>-71.015026779999999</v>
      </c>
    </row>
    <row r="894" spans="1:20" x14ac:dyDescent="0.3">
      <c r="A894" s="5" t="s">
        <v>3112</v>
      </c>
      <c r="B894" s="6">
        <v>27161</v>
      </c>
      <c r="C894" s="6" t="str">
        <f t="shared" si="258"/>
        <v>Active/Unavailable</v>
      </c>
      <c r="D894" s="5" t="s">
        <v>18</v>
      </c>
      <c r="E894" s="5" t="s">
        <v>3113</v>
      </c>
      <c r="F894" s="5" t="s">
        <v>2965</v>
      </c>
      <c r="G894" s="5" t="str">
        <f t="shared" si="260"/>
        <v>Not Available</v>
      </c>
      <c r="H894" s="5" t="s">
        <v>1300</v>
      </c>
      <c r="I894" s="5" t="s">
        <v>22</v>
      </c>
      <c r="J894" s="5" t="s">
        <v>3387</v>
      </c>
      <c r="K894" s="5" t="s">
        <v>3393</v>
      </c>
      <c r="L894" s="5" t="s">
        <v>23</v>
      </c>
      <c r="M894" s="5" t="s">
        <v>3400</v>
      </c>
      <c r="N894" s="5" t="s">
        <v>3114</v>
      </c>
      <c r="O894" s="5" t="s">
        <v>25</v>
      </c>
      <c r="P894" s="5" t="s">
        <v>26</v>
      </c>
      <c r="Q894" s="5" t="s">
        <v>27</v>
      </c>
      <c r="R894" s="5">
        <v>2170</v>
      </c>
      <c r="S894" s="5">
        <v>42.2515179249243</v>
      </c>
      <c r="T894" s="5">
        <v>-70.999840860000006</v>
      </c>
    </row>
    <row r="895" spans="1:20" x14ac:dyDescent="0.3">
      <c r="A895" s="5" t="s">
        <v>3115</v>
      </c>
      <c r="B895" s="6">
        <v>29855</v>
      </c>
      <c r="C895" s="6" t="str">
        <f t="shared" si="258"/>
        <v>Active/Unavailable</v>
      </c>
      <c r="D895" s="5" t="s">
        <v>29</v>
      </c>
      <c r="E895" s="5" t="s">
        <v>3116</v>
      </c>
      <c r="F895" s="5" t="s">
        <v>2175</v>
      </c>
      <c r="G895" s="5" t="str">
        <f t="shared" si="260"/>
        <v>Not Available</v>
      </c>
      <c r="H895" s="5" t="str">
        <f t="shared" ref="H895:H902" si="262">"Not Available"</f>
        <v>Not Available</v>
      </c>
      <c r="I895" s="5" t="s">
        <v>65</v>
      </c>
      <c r="J895" s="5" t="s">
        <v>3387</v>
      </c>
      <c r="K895" s="5" t="s">
        <v>3393</v>
      </c>
      <c r="L895" s="5" t="s">
        <v>22</v>
      </c>
      <c r="M895" s="5" t="s">
        <v>3545</v>
      </c>
      <c r="N895" s="5" t="s">
        <v>3117</v>
      </c>
      <c r="O895" s="5" t="s">
        <v>679</v>
      </c>
      <c r="P895" s="5" t="s">
        <v>26</v>
      </c>
      <c r="Q895" s="5" t="s">
        <v>317</v>
      </c>
      <c r="R895" s="5" t="str">
        <f>"0000"</f>
        <v>0000</v>
      </c>
      <c r="S895" s="5">
        <v>42.300867996885103</v>
      </c>
      <c r="T895" s="5">
        <v>-70.950406670000007</v>
      </c>
    </row>
    <row r="896" spans="1:20" x14ac:dyDescent="0.3">
      <c r="A896" s="5" t="s">
        <v>3118</v>
      </c>
      <c r="B896" s="6">
        <v>33293</v>
      </c>
      <c r="C896" s="6" t="str">
        <f t="shared" si="258"/>
        <v>Active/Unavailable</v>
      </c>
      <c r="D896" s="5" t="s">
        <v>29</v>
      </c>
      <c r="E896" s="5" t="s">
        <v>3119</v>
      </c>
      <c r="F896" s="5" t="s">
        <v>1147</v>
      </c>
      <c r="G896" s="5" t="str">
        <f t="shared" si="260"/>
        <v>Not Available</v>
      </c>
      <c r="H896" s="5" t="str">
        <f t="shared" si="262"/>
        <v>Not Available</v>
      </c>
      <c r="I896" s="5" t="s">
        <v>22</v>
      </c>
      <c r="J896" s="5" t="s">
        <v>3388</v>
      </c>
      <c r="K896" s="5" t="s">
        <v>3393</v>
      </c>
      <c r="L896" s="5" t="s">
        <v>22</v>
      </c>
      <c r="M896" s="5" t="s">
        <v>3662</v>
      </c>
      <c r="N896" s="5" t="s">
        <v>3120</v>
      </c>
      <c r="O896" s="5" t="s">
        <v>25</v>
      </c>
      <c r="P896" s="5" t="s">
        <v>26</v>
      </c>
      <c r="Q896" s="5" t="s">
        <v>27</v>
      </c>
      <c r="R896" s="5">
        <v>2169</v>
      </c>
      <c r="S896" s="5">
        <v>42.312836284725599</v>
      </c>
      <c r="T896" s="5">
        <v>-71.027180119999997</v>
      </c>
    </row>
    <row r="897" spans="1:20" x14ac:dyDescent="0.3">
      <c r="A897" s="5" t="s">
        <v>3121</v>
      </c>
      <c r="B897" s="6">
        <v>11834</v>
      </c>
      <c r="C897" s="6">
        <v>41931</v>
      </c>
      <c r="D897" s="5" t="s">
        <v>100</v>
      </c>
      <c r="E897" s="5" t="s">
        <v>3122</v>
      </c>
      <c r="F897" s="5" t="s">
        <v>820</v>
      </c>
      <c r="G897" s="5" t="str">
        <f t="shared" si="260"/>
        <v>Not Available</v>
      </c>
      <c r="H897" s="5" t="str">
        <f t="shared" si="262"/>
        <v>Not Available</v>
      </c>
      <c r="I897" s="5" t="s">
        <v>65</v>
      </c>
      <c r="J897" s="5" t="s">
        <v>3392</v>
      </c>
      <c r="K897" s="5" t="s">
        <v>3393</v>
      </c>
      <c r="L897" s="5" t="s">
        <v>23</v>
      </c>
      <c r="M897" s="5" t="s">
        <v>3513</v>
      </c>
      <c r="N897" s="5" t="s">
        <v>3123</v>
      </c>
      <c r="O897" s="5" t="s">
        <v>587</v>
      </c>
      <c r="P897" s="5" t="s">
        <v>26</v>
      </c>
      <c r="Q897" s="5" t="s">
        <v>27</v>
      </c>
      <c r="R897" s="5">
        <v>2184</v>
      </c>
      <c r="S897" s="5">
        <v>42.224100318730201</v>
      </c>
      <c r="T897" s="5">
        <v>-70.952498399999996</v>
      </c>
    </row>
    <row r="898" spans="1:20" x14ac:dyDescent="0.3">
      <c r="A898" s="5" t="s">
        <v>3124</v>
      </c>
      <c r="B898" s="6">
        <v>28105</v>
      </c>
      <c r="C898" s="6" t="str">
        <f>"Active/Unavailable"</f>
        <v>Active/Unavailable</v>
      </c>
      <c r="D898" s="5" t="s">
        <v>29</v>
      </c>
      <c r="E898" s="5" t="s">
        <v>3125</v>
      </c>
      <c r="F898" s="5" t="s">
        <v>379</v>
      </c>
      <c r="G898" s="5" t="str">
        <f t="shared" si="260"/>
        <v>Not Available</v>
      </c>
      <c r="H898" s="5" t="str">
        <f t="shared" si="262"/>
        <v>Not Available</v>
      </c>
      <c r="I898" s="5" t="s">
        <v>22</v>
      </c>
      <c r="J898" s="5" t="s">
        <v>3387</v>
      </c>
      <c r="K898" s="5" t="s">
        <v>3393</v>
      </c>
      <c r="L898" s="5" t="s">
        <v>22</v>
      </c>
      <c r="M898" s="5" t="s">
        <v>3509</v>
      </c>
      <c r="N898" s="5" t="s">
        <v>3126</v>
      </c>
      <c r="O898" s="5" t="s">
        <v>25</v>
      </c>
      <c r="P898" s="5" t="s">
        <v>26</v>
      </c>
      <c r="Q898" s="5" t="s">
        <v>27</v>
      </c>
      <c r="R898" s="5">
        <v>2186</v>
      </c>
      <c r="S898" s="5">
        <v>42.306251908580201</v>
      </c>
      <c r="T898" s="5">
        <v>-71.030872919999993</v>
      </c>
    </row>
    <row r="899" spans="1:20" x14ac:dyDescent="0.3">
      <c r="A899" s="5" t="s">
        <v>3127</v>
      </c>
      <c r="B899" s="6">
        <v>10412</v>
      </c>
      <c r="C899" s="6">
        <v>41849</v>
      </c>
      <c r="D899" s="5" t="s">
        <v>29</v>
      </c>
      <c r="E899" s="5" t="s">
        <v>3128</v>
      </c>
      <c r="F899" s="5" t="s">
        <v>3129</v>
      </c>
      <c r="G899" s="5" t="str">
        <f t="shared" si="260"/>
        <v>Not Available</v>
      </c>
      <c r="H899" s="5" t="str">
        <f t="shared" si="262"/>
        <v>Not Available</v>
      </c>
      <c r="I899" s="5" t="s">
        <v>22</v>
      </c>
      <c r="J899" s="5" t="s">
        <v>3387</v>
      </c>
      <c r="K899" s="5" t="s">
        <v>3393</v>
      </c>
      <c r="L899" s="5" t="s">
        <v>22</v>
      </c>
      <c r="M899" s="5" t="s">
        <v>3681</v>
      </c>
      <c r="N899" s="5" t="s">
        <v>3130</v>
      </c>
      <c r="O899" s="5" t="s">
        <v>56</v>
      </c>
      <c r="P899" s="5" t="s">
        <v>26</v>
      </c>
      <c r="Q899" s="5" t="s">
        <v>57</v>
      </c>
      <c r="R899" s="5">
        <v>2472</v>
      </c>
      <c r="S899" s="5">
        <v>42.3862181579224</v>
      </c>
      <c r="T899" s="5">
        <v>-71.061965889999996</v>
      </c>
    </row>
    <row r="900" spans="1:20" x14ac:dyDescent="0.3">
      <c r="A900" s="5" t="s">
        <v>3131</v>
      </c>
      <c r="B900" s="6">
        <v>8774</v>
      </c>
      <c r="C900" s="6" t="str">
        <f t="shared" ref="C900:C909" si="263">"Active/Unavailable"</f>
        <v>Active/Unavailable</v>
      </c>
      <c r="D900" s="5" t="s">
        <v>100</v>
      </c>
      <c r="E900" s="5" t="s">
        <v>1335</v>
      </c>
      <c r="F900" s="5" t="s">
        <v>837</v>
      </c>
      <c r="G900" s="5" t="str">
        <f t="shared" si="260"/>
        <v>Not Available</v>
      </c>
      <c r="H900" s="5" t="str">
        <f t="shared" si="262"/>
        <v>Not Available</v>
      </c>
      <c r="I900" s="5" t="s">
        <v>65</v>
      </c>
      <c r="J900" s="5" t="s">
        <v>3387</v>
      </c>
      <c r="K900" s="5" t="s">
        <v>3393</v>
      </c>
      <c r="L900" s="5" t="s">
        <v>23</v>
      </c>
      <c r="M900" s="5" t="s">
        <v>3463</v>
      </c>
      <c r="N900" s="5" t="s">
        <v>3132</v>
      </c>
      <c r="O900" s="5" t="s">
        <v>56</v>
      </c>
      <c r="P900" s="5" t="s">
        <v>26</v>
      </c>
      <c r="Q900" s="5" t="s">
        <v>57</v>
      </c>
      <c r="R900" s="5">
        <v>2140</v>
      </c>
      <c r="S900" s="5">
        <v>42.333167299066702</v>
      </c>
      <c r="T900" s="5">
        <v>-71.077457510000002</v>
      </c>
    </row>
    <row r="901" spans="1:20" x14ac:dyDescent="0.3">
      <c r="A901" s="5" t="s">
        <v>3133</v>
      </c>
      <c r="B901" s="6">
        <v>21994</v>
      </c>
      <c r="C901" s="6" t="str">
        <f t="shared" si="263"/>
        <v>Active/Unavailable</v>
      </c>
      <c r="D901" s="5" t="s">
        <v>29</v>
      </c>
      <c r="E901" s="5" t="s">
        <v>3134</v>
      </c>
      <c r="F901" s="5" t="s">
        <v>1443</v>
      </c>
      <c r="G901" s="5" t="str">
        <f t="shared" si="260"/>
        <v>Not Available</v>
      </c>
      <c r="H901" s="5" t="str">
        <f t="shared" si="262"/>
        <v>Not Available</v>
      </c>
      <c r="I901" s="5" t="s">
        <v>22</v>
      </c>
      <c r="J901" s="5" t="s">
        <v>3387</v>
      </c>
      <c r="K901" s="5" t="s">
        <v>3393</v>
      </c>
      <c r="L901" s="5" t="s">
        <v>22</v>
      </c>
      <c r="M901" s="5" t="s">
        <v>3502</v>
      </c>
      <c r="N901" s="5" t="s">
        <v>3135</v>
      </c>
      <c r="O901" s="5" t="s">
        <v>679</v>
      </c>
      <c r="P901" s="5" t="s">
        <v>26</v>
      </c>
      <c r="Q901" s="5" t="s">
        <v>317</v>
      </c>
      <c r="R901" s="5">
        <v>2045</v>
      </c>
      <c r="S901" s="5">
        <v>42.287090080611797</v>
      </c>
      <c r="T901" s="5">
        <v>-70.914946380000004</v>
      </c>
    </row>
    <row r="902" spans="1:20" x14ac:dyDescent="0.3">
      <c r="A902" s="5" t="s">
        <v>3136</v>
      </c>
      <c r="B902" s="6">
        <v>19697</v>
      </c>
      <c r="C902" s="6" t="str">
        <f t="shared" si="263"/>
        <v>Active/Unavailable</v>
      </c>
      <c r="D902" s="5" t="s">
        <v>100</v>
      </c>
      <c r="E902" s="5" t="s">
        <v>3137</v>
      </c>
      <c r="F902" s="5" t="s">
        <v>2532</v>
      </c>
      <c r="G902" s="5" t="str">
        <f t="shared" si="260"/>
        <v>Not Available</v>
      </c>
      <c r="H902" s="5" t="str">
        <f t="shared" si="262"/>
        <v>Not Available</v>
      </c>
      <c r="I902" s="5" t="s">
        <v>65</v>
      </c>
      <c r="J902" s="5" t="s">
        <v>3387</v>
      </c>
      <c r="K902" s="5" t="s">
        <v>3393</v>
      </c>
      <c r="L902" s="5" t="s">
        <v>23</v>
      </c>
      <c r="M902" s="5" t="s">
        <v>3510</v>
      </c>
      <c r="N902" s="5" t="s">
        <v>3138</v>
      </c>
      <c r="O902" s="5" t="s">
        <v>33</v>
      </c>
      <c r="P902" s="5" t="s">
        <v>26</v>
      </c>
      <c r="Q902" s="5" t="s">
        <v>34</v>
      </c>
      <c r="R902" s="5">
        <v>2125</v>
      </c>
      <c r="S902" s="5">
        <v>42.308542934866303</v>
      </c>
      <c r="T902" s="5">
        <v>-71.03566936</v>
      </c>
    </row>
    <row r="903" spans="1:20" x14ac:dyDescent="0.3">
      <c r="A903" s="5" t="s">
        <v>3139</v>
      </c>
      <c r="B903" s="6">
        <v>15915</v>
      </c>
      <c r="C903" s="6" t="str">
        <f t="shared" si="263"/>
        <v>Active/Unavailable</v>
      </c>
      <c r="D903" s="5" t="s">
        <v>18</v>
      </c>
      <c r="E903" s="5" t="s">
        <v>1092</v>
      </c>
      <c r="F903" s="5" t="s">
        <v>455</v>
      </c>
      <c r="G903" s="5" t="str">
        <f t="shared" si="260"/>
        <v>Not Available</v>
      </c>
      <c r="H903" s="5" t="s">
        <v>198</v>
      </c>
      <c r="I903" s="5" t="s">
        <v>22</v>
      </c>
      <c r="J903" s="5" t="s">
        <v>3387</v>
      </c>
      <c r="K903" s="5" t="s">
        <v>3393</v>
      </c>
      <c r="L903" s="5" t="s">
        <v>23</v>
      </c>
      <c r="M903" s="5" t="s">
        <v>3568</v>
      </c>
      <c r="N903" s="5" t="s">
        <v>3140</v>
      </c>
      <c r="O903" s="5" t="s">
        <v>108</v>
      </c>
      <c r="P903" s="5" t="s">
        <v>26</v>
      </c>
      <c r="Q903" s="5" t="s">
        <v>34</v>
      </c>
      <c r="R903" s="5" t="str">
        <f>"0000"</f>
        <v>0000</v>
      </c>
      <c r="S903" s="5">
        <v>42.389425950000003</v>
      </c>
      <c r="T903" s="5">
        <v>-71.000695120000003</v>
      </c>
    </row>
    <row r="904" spans="1:20" x14ac:dyDescent="0.3">
      <c r="A904" s="5" t="s">
        <v>3141</v>
      </c>
      <c r="B904" s="6">
        <v>26063</v>
      </c>
      <c r="C904" s="6" t="str">
        <f t="shared" si="263"/>
        <v>Active/Unavailable</v>
      </c>
      <c r="D904" s="5" t="s">
        <v>18</v>
      </c>
      <c r="E904" s="5" t="s">
        <v>360</v>
      </c>
      <c r="F904" s="5" t="s">
        <v>21</v>
      </c>
      <c r="G904" s="5" t="str">
        <f t="shared" si="260"/>
        <v>Not Available</v>
      </c>
      <c r="H904" s="5" t="s">
        <v>1292</v>
      </c>
      <c r="I904" s="5" t="s">
        <v>22</v>
      </c>
      <c r="J904" s="5" t="s">
        <v>3387</v>
      </c>
      <c r="K904" s="5" t="s">
        <v>3393</v>
      </c>
      <c r="L904" s="5" t="s">
        <v>23</v>
      </c>
      <c r="M904" s="5" t="s">
        <v>3541</v>
      </c>
      <c r="N904" s="5" t="s">
        <v>3142</v>
      </c>
      <c r="O904" s="5" t="s">
        <v>172</v>
      </c>
      <c r="P904" s="5" t="s">
        <v>26</v>
      </c>
      <c r="Q904" s="5" t="s">
        <v>34</v>
      </c>
      <c r="R904" s="5">
        <v>2150</v>
      </c>
      <c r="S904" s="5">
        <v>42.385632050681501</v>
      </c>
      <c r="T904" s="5">
        <v>-70.992582200000001</v>
      </c>
    </row>
    <row r="905" spans="1:20" x14ac:dyDescent="0.3">
      <c r="A905" s="5" t="s">
        <v>3143</v>
      </c>
      <c r="B905" s="6">
        <v>9733</v>
      </c>
      <c r="C905" s="6" t="str">
        <f t="shared" si="263"/>
        <v>Active/Unavailable</v>
      </c>
      <c r="D905" s="5" t="s">
        <v>29</v>
      </c>
      <c r="E905" s="5" t="s">
        <v>3144</v>
      </c>
      <c r="F905" s="5" t="s">
        <v>727</v>
      </c>
      <c r="G905" s="5" t="str">
        <f t="shared" si="260"/>
        <v>Not Available</v>
      </c>
      <c r="H905" s="5" t="str">
        <f t="shared" ref="H905:H906" si="264">"Not Available"</f>
        <v>Not Available</v>
      </c>
      <c r="I905" s="5" t="s">
        <v>22</v>
      </c>
      <c r="J905" s="5" t="s">
        <v>3387</v>
      </c>
      <c r="K905" s="5" t="s">
        <v>3393</v>
      </c>
      <c r="L905" s="5" t="s">
        <v>22</v>
      </c>
      <c r="M905" s="5" t="s">
        <v>3435</v>
      </c>
      <c r="N905" s="5" t="s">
        <v>3145</v>
      </c>
      <c r="O905" s="5" t="s">
        <v>274</v>
      </c>
      <c r="P905" s="5" t="s">
        <v>26</v>
      </c>
      <c r="Q905" s="5" t="s">
        <v>57</v>
      </c>
      <c r="R905" s="5">
        <v>2180</v>
      </c>
      <c r="S905" s="5">
        <v>42.4387300428698</v>
      </c>
      <c r="T905" s="5">
        <v>-71.081119409999999</v>
      </c>
    </row>
    <row r="906" spans="1:20" x14ac:dyDescent="0.3">
      <c r="A906" s="5" t="s">
        <v>3146</v>
      </c>
      <c r="B906" s="6">
        <v>28164</v>
      </c>
      <c r="C906" s="6" t="str">
        <f t="shared" si="263"/>
        <v>Active/Unavailable</v>
      </c>
      <c r="D906" s="5" t="s">
        <v>100</v>
      </c>
      <c r="E906" s="5" t="s">
        <v>3147</v>
      </c>
      <c r="F906" s="5" t="s">
        <v>129</v>
      </c>
      <c r="G906" s="5" t="str">
        <f t="shared" si="260"/>
        <v>Not Available</v>
      </c>
      <c r="H906" s="5" t="str">
        <f t="shared" si="264"/>
        <v>Not Available</v>
      </c>
      <c r="I906" s="5" t="s">
        <v>65</v>
      </c>
      <c r="J906" s="5" t="s">
        <v>3387</v>
      </c>
      <c r="K906" s="5" t="s">
        <v>3393</v>
      </c>
      <c r="L906" s="5" t="s">
        <v>23</v>
      </c>
      <c r="M906" s="5" t="s">
        <v>3544</v>
      </c>
      <c r="N906" s="5" t="s">
        <v>3148</v>
      </c>
      <c r="O906" s="5" t="s">
        <v>33</v>
      </c>
      <c r="P906" s="5" t="s">
        <v>26</v>
      </c>
      <c r="Q906" s="5" t="s">
        <v>34</v>
      </c>
      <c r="R906" s="5">
        <v>2116</v>
      </c>
      <c r="S906" s="5">
        <v>42.352733553058002</v>
      </c>
      <c r="T906" s="5">
        <v>-71.122844499999999</v>
      </c>
    </row>
    <row r="907" spans="1:20" x14ac:dyDescent="0.3">
      <c r="A907" s="5" t="s">
        <v>3149</v>
      </c>
      <c r="B907" s="6">
        <v>11447</v>
      </c>
      <c r="C907" s="6" t="str">
        <f t="shared" si="263"/>
        <v>Active/Unavailable</v>
      </c>
      <c r="D907" s="5" t="s">
        <v>18</v>
      </c>
      <c r="E907" s="5" t="s">
        <v>3150</v>
      </c>
      <c r="F907" s="5" t="s">
        <v>1124</v>
      </c>
      <c r="G907" s="5" t="str">
        <f t="shared" si="260"/>
        <v>Not Available</v>
      </c>
      <c r="H907" s="5" t="s">
        <v>1688</v>
      </c>
      <c r="I907" s="5" t="s">
        <v>22</v>
      </c>
      <c r="J907" s="5" t="s">
        <v>3387</v>
      </c>
      <c r="K907" s="5" t="s">
        <v>3393</v>
      </c>
      <c r="L907" s="5" t="s">
        <v>23</v>
      </c>
      <c r="M907" s="5" t="s">
        <v>3419</v>
      </c>
      <c r="N907" s="5" t="s">
        <v>3151</v>
      </c>
      <c r="O907" s="5" t="s">
        <v>33</v>
      </c>
      <c r="P907" s="5" t="s">
        <v>26</v>
      </c>
      <c r="Q907" s="5" t="s">
        <v>34</v>
      </c>
      <c r="R907" s="5">
        <v>2151</v>
      </c>
      <c r="S907" s="5">
        <v>42.363929887238001</v>
      </c>
      <c r="T907" s="5">
        <v>-71.015281709999996</v>
      </c>
    </row>
    <row r="908" spans="1:20" x14ac:dyDescent="0.3">
      <c r="A908" s="5" t="s">
        <v>3152</v>
      </c>
      <c r="B908" s="6">
        <v>29156</v>
      </c>
      <c r="C908" s="6" t="str">
        <f t="shared" si="263"/>
        <v>Active/Unavailable</v>
      </c>
      <c r="D908" s="5" t="s">
        <v>18</v>
      </c>
      <c r="E908" s="5" t="s">
        <v>3153</v>
      </c>
      <c r="F908" s="5" t="s">
        <v>3154</v>
      </c>
      <c r="G908" s="5" t="str">
        <f t="shared" si="260"/>
        <v>Not Available</v>
      </c>
      <c r="H908" s="5" t="s">
        <v>3155</v>
      </c>
      <c r="I908" s="5" t="s">
        <v>22</v>
      </c>
      <c r="J908" s="5" t="s">
        <v>3387</v>
      </c>
      <c r="K908" s="5" t="s">
        <v>3394</v>
      </c>
      <c r="L908" s="5" t="s">
        <v>23</v>
      </c>
      <c r="M908" s="5" t="s">
        <v>3461</v>
      </c>
      <c r="N908" s="5" t="s">
        <v>3156</v>
      </c>
      <c r="O908" s="5" t="s">
        <v>33</v>
      </c>
      <c r="P908" s="5" t="s">
        <v>26</v>
      </c>
      <c r="Q908" s="5" t="s">
        <v>34</v>
      </c>
      <c r="R908" s="5">
        <v>2115</v>
      </c>
      <c r="S908" s="5">
        <v>42.374112210248803</v>
      </c>
      <c r="T908" s="5">
        <v>-71.039400920000006</v>
      </c>
    </row>
    <row r="909" spans="1:20" x14ac:dyDescent="0.3">
      <c r="A909" s="5" t="s">
        <v>3157</v>
      </c>
      <c r="B909" s="6">
        <v>16176</v>
      </c>
      <c r="C909" s="6" t="str">
        <f t="shared" si="263"/>
        <v>Active/Unavailable</v>
      </c>
      <c r="D909" s="5" t="s">
        <v>29</v>
      </c>
      <c r="E909" s="5" t="s">
        <v>660</v>
      </c>
      <c r="F909" s="5" t="s">
        <v>264</v>
      </c>
      <c r="G909" s="5" t="str">
        <f t="shared" si="260"/>
        <v>Not Available</v>
      </c>
      <c r="H909" s="5" t="str">
        <f t="shared" ref="H909:H910" si="265">"Not Available"</f>
        <v>Not Available</v>
      </c>
      <c r="I909" s="5" t="s">
        <v>22</v>
      </c>
      <c r="J909" s="5" t="s">
        <v>3388</v>
      </c>
      <c r="K909" s="5" t="s">
        <v>3393</v>
      </c>
      <c r="L909" s="5" t="s">
        <v>22</v>
      </c>
      <c r="M909" s="5" t="s">
        <v>3682</v>
      </c>
      <c r="N909" s="5" t="s">
        <v>3158</v>
      </c>
      <c r="O909" s="5" t="s">
        <v>33</v>
      </c>
      <c r="P909" s="5" t="s">
        <v>26</v>
      </c>
      <c r="Q909" s="5" t="s">
        <v>34</v>
      </c>
      <c r="R909" s="5">
        <v>2114</v>
      </c>
      <c r="S909" s="5">
        <v>42.330122657258698</v>
      </c>
      <c r="T909" s="5">
        <v>-71.090190500000006</v>
      </c>
    </row>
    <row r="910" spans="1:20" x14ac:dyDescent="0.3">
      <c r="A910" s="5" t="s">
        <v>3159</v>
      </c>
      <c r="B910" s="6">
        <v>19466</v>
      </c>
      <c r="C910" s="6">
        <v>42054</v>
      </c>
      <c r="D910" s="5" t="s">
        <v>100</v>
      </c>
      <c r="E910" s="5" t="s">
        <v>3160</v>
      </c>
      <c r="F910" s="5" t="s">
        <v>913</v>
      </c>
      <c r="G910" s="5" t="s">
        <v>314</v>
      </c>
      <c r="H910" s="5" t="str">
        <f t="shared" si="265"/>
        <v>Not Available</v>
      </c>
      <c r="I910" s="5" t="s">
        <v>65</v>
      </c>
      <c r="J910" s="5" t="s">
        <v>3387</v>
      </c>
      <c r="K910" s="5" t="s">
        <v>3393</v>
      </c>
      <c r="L910" s="5" t="s">
        <v>23</v>
      </c>
      <c r="M910" s="5" t="s">
        <v>3517</v>
      </c>
      <c r="N910" s="5" t="s">
        <v>3161</v>
      </c>
      <c r="O910" s="5" t="s">
        <v>56</v>
      </c>
      <c r="P910" s="5" t="s">
        <v>26</v>
      </c>
      <c r="Q910" s="5" t="s">
        <v>57</v>
      </c>
      <c r="R910" s="5">
        <v>2139</v>
      </c>
      <c r="S910" s="5">
        <v>42.332423539341598</v>
      </c>
      <c r="T910" s="5">
        <v>-71.077143090000007</v>
      </c>
    </row>
    <row r="911" spans="1:20" x14ac:dyDescent="0.3">
      <c r="A911" s="5" t="s">
        <v>3162</v>
      </c>
      <c r="B911" s="6">
        <v>16649</v>
      </c>
      <c r="C911" s="6" t="str">
        <f t="shared" ref="C911:C916" si="266">"Active/Unavailable"</f>
        <v>Active/Unavailable</v>
      </c>
      <c r="D911" s="5" t="s">
        <v>18</v>
      </c>
      <c r="E911" s="5" t="s">
        <v>3163</v>
      </c>
      <c r="F911" s="5" t="s">
        <v>1304</v>
      </c>
      <c r="G911" s="5" t="str">
        <f t="shared" ref="G911:G942" si="267">"Not Available"</f>
        <v>Not Available</v>
      </c>
      <c r="H911" s="5" t="s">
        <v>2557</v>
      </c>
      <c r="I911" s="5" t="s">
        <v>22</v>
      </c>
      <c r="J911" s="5" t="s">
        <v>3387</v>
      </c>
      <c r="K911" s="5" t="s">
        <v>3393</v>
      </c>
      <c r="L911" s="5" t="s">
        <v>23</v>
      </c>
      <c r="M911" s="5" t="s">
        <v>3508</v>
      </c>
      <c r="N911" s="5" t="s">
        <v>3164</v>
      </c>
      <c r="O911" s="5" t="s">
        <v>172</v>
      </c>
      <c r="P911" s="5" t="s">
        <v>26</v>
      </c>
      <c r="Q911" s="5" t="s">
        <v>34</v>
      </c>
      <c r="R911" s="5">
        <v>2151</v>
      </c>
      <c r="S911" s="5">
        <v>42.392403755272603</v>
      </c>
      <c r="T911" s="5">
        <v>-71.020335860000003</v>
      </c>
    </row>
    <row r="912" spans="1:20" x14ac:dyDescent="0.3">
      <c r="A912" s="5" t="s">
        <v>3165</v>
      </c>
      <c r="B912" s="6">
        <v>29218</v>
      </c>
      <c r="C912" s="6" t="str">
        <f t="shared" si="266"/>
        <v>Active/Unavailable</v>
      </c>
      <c r="D912" s="5" t="s">
        <v>18</v>
      </c>
      <c r="E912" s="5" t="s">
        <v>3166</v>
      </c>
      <c r="F912" s="5" t="s">
        <v>746</v>
      </c>
      <c r="G912" s="5" t="str">
        <f t="shared" si="267"/>
        <v>Not Available</v>
      </c>
      <c r="H912" s="5" t="s">
        <v>2464</v>
      </c>
      <c r="I912" s="5" t="s">
        <v>22</v>
      </c>
      <c r="J912" s="5" t="s">
        <v>3391</v>
      </c>
      <c r="K912" s="5" t="s">
        <v>3394</v>
      </c>
      <c r="L912" s="5" t="s">
        <v>23</v>
      </c>
      <c r="M912" s="5" t="s">
        <v>3538</v>
      </c>
      <c r="N912" s="5" t="s">
        <v>3167</v>
      </c>
      <c r="O912" s="5" t="s">
        <v>33</v>
      </c>
      <c r="P912" s="5" t="s">
        <v>26</v>
      </c>
      <c r="Q912" s="5" t="s">
        <v>34</v>
      </c>
      <c r="R912" s="5" t="str">
        <f t="shared" ref="R912:R913" si="268">"0000"</f>
        <v>0000</v>
      </c>
      <c r="S912" s="5">
        <v>42.308156602608697</v>
      </c>
      <c r="T912" s="5">
        <v>-71.073280909999994</v>
      </c>
    </row>
    <row r="913" spans="1:20" x14ac:dyDescent="0.3">
      <c r="A913" s="5" t="s">
        <v>3168</v>
      </c>
      <c r="B913" s="6">
        <v>19131</v>
      </c>
      <c r="C913" s="6" t="str">
        <f t="shared" si="266"/>
        <v>Active/Unavailable</v>
      </c>
      <c r="D913" s="5" t="s">
        <v>29</v>
      </c>
      <c r="E913" s="5" t="s">
        <v>3169</v>
      </c>
      <c r="F913" s="5" t="s">
        <v>605</v>
      </c>
      <c r="G913" s="5" t="str">
        <f t="shared" si="267"/>
        <v>Not Available</v>
      </c>
      <c r="H913" s="5" t="str">
        <f>"Not Available"</f>
        <v>Not Available</v>
      </c>
      <c r="I913" s="5" t="s">
        <v>22</v>
      </c>
      <c r="J913" s="5" t="s">
        <v>3387</v>
      </c>
      <c r="K913" s="5" t="s">
        <v>3393</v>
      </c>
      <c r="L913" s="5" t="s">
        <v>22</v>
      </c>
      <c r="M913" s="5" t="s">
        <v>3631</v>
      </c>
      <c r="N913" s="5" t="s">
        <v>3170</v>
      </c>
      <c r="O913" s="5" t="s">
        <v>33</v>
      </c>
      <c r="P913" s="5" t="s">
        <v>26</v>
      </c>
      <c r="Q913" s="5" t="s">
        <v>34</v>
      </c>
      <c r="R913" s="5" t="str">
        <f t="shared" si="268"/>
        <v>0000</v>
      </c>
      <c r="S913" s="5">
        <v>42.352384044548401</v>
      </c>
      <c r="T913" s="5">
        <v>-70.992272959999994</v>
      </c>
    </row>
    <row r="914" spans="1:20" x14ac:dyDescent="0.3">
      <c r="A914" s="5" t="s">
        <v>3171</v>
      </c>
      <c r="B914" s="6">
        <v>20427</v>
      </c>
      <c r="C914" s="6" t="str">
        <f t="shared" si="266"/>
        <v>Active/Unavailable</v>
      </c>
      <c r="D914" s="5" t="s">
        <v>18</v>
      </c>
      <c r="E914" s="5" t="s">
        <v>3172</v>
      </c>
      <c r="F914" s="5" t="s">
        <v>1610</v>
      </c>
      <c r="G914" s="5" t="str">
        <f t="shared" si="267"/>
        <v>Not Available</v>
      </c>
      <c r="H914" s="5" t="s">
        <v>1836</v>
      </c>
      <c r="I914" s="5" t="s">
        <v>22</v>
      </c>
      <c r="J914" s="5" t="s">
        <v>3389</v>
      </c>
      <c r="K914" s="5" t="s">
        <v>3394</v>
      </c>
      <c r="L914" s="5" t="s">
        <v>23</v>
      </c>
      <c r="M914" s="5" t="s">
        <v>3636</v>
      </c>
      <c r="N914" s="5" t="s">
        <v>3173</v>
      </c>
      <c r="O914" s="5" t="s">
        <v>33</v>
      </c>
      <c r="P914" s="5" t="s">
        <v>26</v>
      </c>
      <c r="Q914" s="5" t="s">
        <v>34</v>
      </c>
      <c r="R914" s="5">
        <v>2127</v>
      </c>
      <c r="S914" s="5">
        <v>42.282064456011902</v>
      </c>
      <c r="T914" s="5">
        <v>-71.012029100000007</v>
      </c>
    </row>
    <row r="915" spans="1:20" x14ac:dyDescent="0.3">
      <c r="A915" s="5" t="s">
        <v>3174</v>
      </c>
      <c r="B915" s="6">
        <v>17766</v>
      </c>
      <c r="C915" s="6" t="str">
        <f t="shared" si="266"/>
        <v>Active/Unavailable</v>
      </c>
      <c r="D915" s="5" t="s">
        <v>29</v>
      </c>
      <c r="E915" s="5" t="s">
        <v>3175</v>
      </c>
      <c r="F915" s="5" t="s">
        <v>1435</v>
      </c>
      <c r="G915" s="5" t="str">
        <f t="shared" si="267"/>
        <v>Not Available</v>
      </c>
      <c r="H915" s="5" t="str">
        <f>"Not Available"</f>
        <v>Not Available</v>
      </c>
      <c r="I915" s="5" t="s">
        <v>22</v>
      </c>
      <c r="J915" s="5" t="s">
        <v>3387</v>
      </c>
      <c r="K915" s="5" t="s">
        <v>3393</v>
      </c>
      <c r="L915" s="5" t="s">
        <v>22</v>
      </c>
      <c r="M915" s="5" t="s">
        <v>3482</v>
      </c>
      <c r="N915" s="5" t="s">
        <v>3176</v>
      </c>
      <c r="O915" s="5" t="s">
        <v>25</v>
      </c>
      <c r="P915" s="5" t="s">
        <v>26</v>
      </c>
      <c r="Q915" s="5" t="s">
        <v>27</v>
      </c>
      <c r="R915" s="5">
        <v>2171</v>
      </c>
      <c r="S915" s="5">
        <v>42.306096840938302</v>
      </c>
      <c r="T915" s="5">
        <v>-71.046709530000001</v>
      </c>
    </row>
    <row r="916" spans="1:20" x14ac:dyDescent="0.3">
      <c r="A916" s="5" t="s">
        <v>3177</v>
      </c>
      <c r="B916" s="6">
        <v>23610</v>
      </c>
      <c r="C916" s="6" t="str">
        <f t="shared" si="266"/>
        <v>Active/Unavailable</v>
      </c>
      <c r="D916" s="5" t="s">
        <v>18</v>
      </c>
      <c r="E916" s="5" t="s">
        <v>1458</v>
      </c>
      <c r="F916" s="5" t="s">
        <v>1801</v>
      </c>
      <c r="G916" s="5" t="str">
        <f t="shared" si="267"/>
        <v>Not Available</v>
      </c>
      <c r="H916" s="5" t="s">
        <v>1062</v>
      </c>
      <c r="I916" s="5" t="s">
        <v>22</v>
      </c>
      <c r="J916" s="5" t="s">
        <v>3387</v>
      </c>
      <c r="K916" s="5" t="s">
        <v>3393</v>
      </c>
      <c r="L916" s="5" t="s">
        <v>23</v>
      </c>
      <c r="M916" s="5" t="s">
        <v>3683</v>
      </c>
      <c r="N916" s="5" t="s">
        <v>3178</v>
      </c>
      <c r="O916" s="5" t="s">
        <v>2597</v>
      </c>
      <c r="P916" s="5" t="s">
        <v>26</v>
      </c>
      <c r="Q916" s="5" t="s">
        <v>317</v>
      </c>
      <c r="R916" s="5">
        <v>2060</v>
      </c>
      <c r="S916" s="5">
        <v>42.2281280864404</v>
      </c>
      <c r="T916" s="5">
        <v>-70.813659990000005</v>
      </c>
    </row>
    <row r="917" spans="1:20" x14ac:dyDescent="0.3">
      <c r="A917" s="5" t="s">
        <v>3179</v>
      </c>
      <c r="B917" s="6">
        <v>12236</v>
      </c>
      <c r="C917" s="6">
        <v>43198</v>
      </c>
      <c r="D917" s="5" t="s">
        <v>29</v>
      </c>
      <c r="E917" s="5" t="s">
        <v>1003</v>
      </c>
      <c r="F917" s="5" t="s">
        <v>272</v>
      </c>
      <c r="G917" s="5" t="str">
        <f t="shared" si="267"/>
        <v>Not Available</v>
      </c>
      <c r="H917" s="5" t="str">
        <f>"Not Available"</f>
        <v>Not Available</v>
      </c>
      <c r="I917" s="5" t="s">
        <v>65</v>
      </c>
      <c r="J917" s="5" t="s">
        <v>3387</v>
      </c>
      <c r="K917" s="5" t="s">
        <v>3393</v>
      </c>
      <c r="L917" s="5" t="s">
        <v>22</v>
      </c>
      <c r="M917" s="5" t="s">
        <v>3528</v>
      </c>
      <c r="N917" s="5" t="s">
        <v>3180</v>
      </c>
      <c r="O917" s="5" t="s">
        <v>574</v>
      </c>
      <c r="P917" s="5" t="s">
        <v>26</v>
      </c>
      <c r="Q917" s="5" t="s">
        <v>27</v>
      </c>
      <c r="R917" s="5">
        <v>2215</v>
      </c>
      <c r="S917" s="5">
        <v>42.369113963012701</v>
      </c>
      <c r="T917" s="5">
        <v>-71.097037999999998</v>
      </c>
    </row>
    <row r="918" spans="1:20" x14ac:dyDescent="0.3">
      <c r="A918" s="5" t="s">
        <v>3181</v>
      </c>
      <c r="B918" s="6">
        <v>26904</v>
      </c>
      <c r="C918" s="6" t="str">
        <f t="shared" ref="C918:C923" si="269">"Active/Unavailable"</f>
        <v>Active/Unavailable</v>
      </c>
      <c r="D918" s="5" t="s">
        <v>18</v>
      </c>
      <c r="E918" s="5" t="s">
        <v>3182</v>
      </c>
      <c r="F918" s="5" t="s">
        <v>1554</v>
      </c>
      <c r="G918" s="5" t="str">
        <f t="shared" si="267"/>
        <v>Not Available</v>
      </c>
      <c r="H918" s="5" t="s">
        <v>2785</v>
      </c>
      <c r="I918" s="5" t="s">
        <v>22</v>
      </c>
      <c r="J918" s="5" t="s">
        <v>3387</v>
      </c>
      <c r="K918" s="5" t="s">
        <v>3393</v>
      </c>
      <c r="L918" s="5" t="s">
        <v>23</v>
      </c>
      <c r="M918" s="5" t="s">
        <v>3684</v>
      </c>
      <c r="N918" s="5" t="s">
        <v>3183</v>
      </c>
      <c r="O918" s="5" t="s">
        <v>33</v>
      </c>
      <c r="P918" s="5" t="s">
        <v>26</v>
      </c>
      <c r="Q918" s="5" t="s">
        <v>34</v>
      </c>
      <c r="R918" s="5">
        <v>2135</v>
      </c>
      <c r="S918" s="5">
        <v>42.311673960087099</v>
      </c>
      <c r="T918" s="5">
        <v>-71.016093400000003</v>
      </c>
    </row>
    <row r="919" spans="1:20" x14ac:dyDescent="0.3">
      <c r="A919" s="5" t="s">
        <v>3184</v>
      </c>
      <c r="B919" s="6">
        <v>27059</v>
      </c>
      <c r="C919" s="6" t="str">
        <f t="shared" si="269"/>
        <v>Active/Unavailable</v>
      </c>
      <c r="D919" s="5" t="s">
        <v>29</v>
      </c>
      <c r="E919" s="5" t="s">
        <v>2695</v>
      </c>
      <c r="F919" s="5" t="s">
        <v>1063</v>
      </c>
      <c r="G919" s="5" t="str">
        <f t="shared" si="267"/>
        <v>Not Available</v>
      </c>
      <c r="H919" s="5" t="str">
        <f>"Not Available"</f>
        <v>Not Available</v>
      </c>
      <c r="I919" s="5" t="s">
        <v>22</v>
      </c>
      <c r="J919" s="5" t="s">
        <v>3387</v>
      </c>
      <c r="K919" s="5" t="s">
        <v>3393</v>
      </c>
      <c r="L919" s="5" t="s">
        <v>22</v>
      </c>
      <c r="M919" s="5" t="s">
        <v>3636</v>
      </c>
      <c r="N919" s="5" t="s">
        <v>3185</v>
      </c>
      <c r="O919" s="5" t="s">
        <v>209</v>
      </c>
      <c r="P919" s="5" t="s">
        <v>26</v>
      </c>
      <c r="Q919" s="5" t="s">
        <v>27</v>
      </c>
      <c r="R919" s="5" t="str">
        <f>"0000"</f>
        <v>0000</v>
      </c>
      <c r="S919" s="5">
        <v>42.209611066453697</v>
      </c>
      <c r="T919" s="5">
        <v>-70.906671299999999</v>
      </c>
    </row>
    <row r="920" spans="1:20" x14ac:dyDescent="0.3">
      <c r="A920" s="5" t="s">
        <v>3186</v>
      </c>
      <c r="B920" s="6">
        <v>9819</v>
      </c>
      <c r="C920" s="6" t="str">
        <f t="shared" si="269"/>
        <v>Active/Unavailable</v>
      </c>
      <c r="D920" s="5" t="s">
        <v>18</v>
      </c>
      <c r="E920" s="5" t="s">
        <v>3187</v>
      </c>
      <c r="F920" s="5" t="s">
        <v>2993</v>
      </c>
      <c r="G920" s="5" t="str">
        <f t="shared" si="267"/>
        <v>Not Available</v>
      </c>
      <c r="H920" s="5" t="s">
        <v>464</v>
      </c>
      <c r="I920" s="5" t="s">
        <v>22</v>
      </c>
      <c r="J920" s="5" t="s">
        <v>3387</v>
      </c>
      <c r="K920" s="5" t="s">
        <v>3393</v>
      </c>
      <c r="L920" s="5" t="s">
        <v>23</v>
      </c>
      <c r="M920" s="5" t="s">
        <v>3402</v>
      </c>
      <c r="N920" s="5" t="s">
        <v>3188</v>
      </c>
      <c r="O920" s="5" t="s">
        <v>33</v>
      </c>
      <c r="P920" s="5" t="s">
        <v>26</v>
      </c>
      <c r="Q920" s="5" t="s">
        <v>34</v>
      </c>
      <c r="R920" s="5">
        <v>2130</v>
      </c>
      <c r="S920" s="5">
        <v>42.3375820959455</v>
      </c>
      <c r="T920" s="5">
        <v>-71.00121043</v>
      </c>
    </row>
    <row r="921" spans="1:20" x14ac:dyDescent="0.3">
      <c r="A921" s="5" t="s">
        <v>3189</v>
      </c>
      <c r="B921" s="6">
        <v>27141</v>
      </c>
      <c r="C921" s="6" t="str">
        <f t="shared" si="269"/>
        <v>Active/Unavailable</v>
      </c>
      <c r="D921" s="5" t="s">
        <v>29</v>
      </c>
      <c r="E921" s="5" t="s">
        <v>3358</v>
      </c>
      <c r="F921" s="5" t="s">
        <v>3190</v>
      </c>
      <c r="G921" s="5" t="str">
        <f t="shared" si="267"/>
        <v>Not Available</v>
      </c>
      <c r="H921" s="5" t="str">
        <f t="shared" ref="H921:H922" si="270">"Not Available"</f>
        <v>Not Available</v>
      </c>
      <c r="I921" s="5" t="s">
        <v>65</v>
      </c>
      <c r="J921" s="5" t="s">
        <v>3387</v>
      </c>
      <c r="K921" s="5" t="s">
        <v>3394</v>
      </c>
      <c r="L921" s="5" t="s">
        <v>22</v>
      </c>
      <c r="M921" s="5" t="s">
        <v>3597</v>
      </c>
      <c r="N921" s="5" t="s">
        <v>3191</v>
      </c>
      <c r="O921" s="5" t="s">
        <v>33</v>
      </c>
      <c r="P921" s="5" t="s">
        <v>26</v>
      </c>
      <c r="Q921" s="5" t="s">
        <v>34</v>
      </c>
      <c r="R921" s="5" t="str">
        <f>"0000"</f>
        <v>0000</v>
      </c>
      <c r="S921" s="5">
        <v>42.293369106175199</v>
      </c>
      <c r="T921" s="5">
        <v>-71.040773049999999</v>
      </c>
    </row>
    <row r="922" spans="1:20" x14ac:dyDescent="0.3">
      <c r="A922" s="5" t="s">
        <v>3192</v>
      </c>
      <c r="B922" s="6">
        <v>14865</v>
      </c>
      <c r="C922" s="6" t="str">
        <f t="shared" si="269"/>
        <v>Active/Unavailable</v>
      </c>
      <c r="D922" s="5" t="s">
        <v>29</v>
      </c>
      <c r="E922" s="5" t="s">
        <v>3193</v>
      </c>
      <c r="F922" s="5" t="s">
        <v>1360</v>
      </c>
      <c r="G922" s="5" t="str">
        <f t="shared" si="267"/>
        <v>Not Available</v>
      </c>
      <c r="H922" s="5" t="str">
        <f t="shared" si="270"/>
        <v>Not Available</v>
      </c>
      <c r="I922" s="5" t="s">
        <v>22</v>
      </c>
      <c r="J922" s="5" t="s">
        <v>3391</v>
      </c>
      <c r="K922" s="5" t="s">
        <v>3393</v>
      </c>
      <c r="L922" s="5" t="s">
        <v>22</v>
      </c>
      <c r="M922" s="5" t="s">
        <v>3458</v>
      </c>
      <c r="N922" s="5" t="s">
        <v>3194</v>
      </c>
      <c r="O922" s="5" t="s">
        <v>33</v>
      </c>
      <c r="P922" s="5" t="s">
        <v>26</v>
      </c>
      <c r="Q922" s="5" t="s">
        <v>34</v>
      </c>
      <c r="R922" s="5">
        <v>2467</v>
      </c>
      <c r="S922" s="5">
        <v>42.398439942886</v>
      </c>
      <c r="T922" s="5">
        <v>-70.9679237</v>
      </c>
    </row>
    <row r="923" spans="1:20" x14ac:dyDescent="0.3">
      <c r="A923" s="5" t="s">
        <v>3195</v>
      </c>
      <c r="B923" s="6">
        <v>16725</v>
      </c>
      <c r="C923" s="6" t="str">
        <f t="shared" si="269"/>
        <v>Active/Unavailable</v>
      </c>
      <c r="D923" s="5" t="s">
        <v>18</v>
      </c>
      <c r="E923" s="5" t="s">
        <v>2136</v>
      </c>
      <c r="F923" s="5" t="s">
        <v>308</v>
      </c>
      <c r="G923" s="5" t="str">
        <f t="shared" si="267"/>
        <v>Not Available</v>
      </c>
      <c r="H923" s="5" t="s">
        <v>2243</v>
      </c>
      <c r="I923" s="5" t="s">
        <v>22</v>
      </c>
      <c r="J923" s="5" t="s">
        <v>3388</v>
      </c>
      <c r="K923" s="5" t="s">
        <v>3393</v>
      </c>
      <c r="L923" s="5" t="s">
        <v>23</v>
      </c>
      <c r="M923" s="5" t="s">
        <v>3436</v>
      </c>
      <c r="N923" s="5" t="s">
        <v>3196</v>
      </c>
      <c r="O923" s="5" t="s">
        <v>108</v>
      </c>
      <c r="P923" s="5" t="s">
        <v>26</v>
      </c>
      <c r="Q923" s="5" t="s">
        <v>34</v>
      </c>
      <c r="R923" s="5">
        <v>2151</v>
      </c>
      <c r="S923" s="5">
        <v>42.3820729795791</v>
      </c>
      <c r="T923" s="5">
        <v>-71.035952170000002</v>
      </c>
    </row>
    <row r="924" spans="1:20" x14ac:dyDescent="0.3">
      <c r="A924" s="5" t="s">
        <v>3197</v>
      </c>
      <c r="B924" s="6">
        <v>12290</v>
      </c>
      <c r="C924" s="6">
        <v>43705</v>
      </c>
      <c r="D924" s="5" t="s">
        <v>29</v>
      </c>
      <c r="E924" s="5" t="s">
        <v>3198</v>
      </c>
      <c r="F924" s="5" t="s">
        <v>53</v>
      </c>
      <c r="G924" s="5" t="str">
        <f t="shared" si="267"/>
        <v>Not Available</v>
      </c>
      <c r="H924" s="5" t="str">
        <f t="shared" ref="H924:H928" si="271">"Not Available"</f>
        <v>Not Available</v>
      </c>
      <c r="I924" s="5" t="s">
        <v>22</v>
      </c>
      <c r="J924" s="5" t="s">
        <v>3389</v>
      </c>
      <c r="K924" s="5" t="s">
        <v>3393</v>
      </c>
      <c r="L924" s="5" t="s">
        <v>22</v>
      </c>
      <c r="M924" s="5" t="s">
        <v>3685</v>
      </c>
      <c r="N924" s="5" t="s">
        <v>3199</v>
      </c>
      <c r="O924" s="5" t="s">
        <v>33</v>
      </c>
      <c r="P924" s="5" t="s">
        <v>26</v>
      </c>
      <c r="Q924" s="5" t="s">
        <v>34</v>
      </c>
      <c r="R924" s="5" t="str">
        <f>"0000"</f>
        <v>0000</v>
      </c>
      <c r="S924" s="5">
        <v>42.3134599590893</v>
      </c>
      <c r="T924" s="5">
        <v>-71.037975990000007</v>
      </c>
    </row>
    <row r="925" spans="1:20" x14ac:dyDescent="0.3">
      <c r="A925" s="5" t="s">
        <v>3200</v>
      </c>
      <c r="B925" s="6">
        <v>12290</v>
      </c>
      <c r="C925" s="6">
        <v>43766</v>
      </c>
      <c r="D925" s="5" t="s">
        <v>29</v>
      </c>
      <c r="E925" s="5" t="s">
        <v>3201</v>
      </c>
      <c r="F925" s="5" t="s">
        <v>3202</v>
      </c>
      <c r="G925" s="5" t="str">
        <f t="shared" si="267"/>
        <v>Not Available</v>
      </c>
      <c r="H925" s="5" t="str">
        <f t="shared" si="271"/>
        <v>Not Available</v>
      </c>
      <c r="I925" s="5" t="s">
        <v>22</v>
      </c>
      <c r="J925" s="5" t="s">
        <v>3389</v>
      </c>
      <c r="K925" s="5" t="s">
        <v>3393</v>
      </c>
      <c r="L925" s="5" t="s">
        <v>22</v>
      </c>
      <c r="M925" s="5" t="s">
        <v>3414</v>
      </c>
      <c r="N925" s="5" t="s">
        <v>3203</v>
      </c>
      <c r="O925" s="5" t="s">
        <v>33</v>
      </c>
      <c r="P925" s="5" t="s">
        <v>26</v>
      </c>
      <c r="Q925" s="5" t="s">
        <v>34</v>
      </c>
      <c r="R925" s="5">
        <v>2109</v>
      </c>
      <c r="S925" s="5">
        <v>42.309059307096298</v>
      </c>
      <c r="T925" s="5">
        <v>-71.079113640000003</v>
      </c>
    </row>
    <row r="926" spans="1:20" x14ac:dyDescent="0.3">
      <c r="A926" s="5" t="s">
        <v>3204</v>
      </c>
      <c r="B926" s="6">
        <v>15549</v>
      </c>
      <c r="C926" s="6" t="str">
        <f t="shared" ref="C926:C932" si="272">"Active/Unavailable"</f>
        <v>Active/Unavailable</v>
      </c>
      <c r="D926" s="5" t="s">
        <v>29</v>
      </c>
      <c r="E926" s="5" t="s">
        <v>1807</v>
      </c>
      <c r="F926" s="5" t="s">
        <v>920</v>
      </c>
      <c r="G926" s="5" t="str">
        <f t="shared" si="267"/>
        <v>Not Available</v>
      </c>
      <c r="H926" s="5" t="str">
        <f t="shared" si="271"/>
        <v>Not Available</v>
      </c>
      <c r="I926" s="5" t="s">
        <v>22</v>
      </c>
      <c r="J926" s="5" t="s">
        <v>3390</v>
      </c>
      <c r="K926" s="5" t="s">
        <v>3393</v>
      </c>
      <c r="L926" s="5" t="s">
        <v>22</v>
      </c>
      <c r="M926" s="5" t="s">
        <v>3647</v>
      </c>
      <c r="N926" s="5" t="s">
        <v>3205</v>
      </c>
      <c r="O926" s="5" t="s">
        <v>33</v>
      </c>
      <c r="P926" s="5" t="s">
        <v>26</v>
      </c>
      <c r="Q926" s="5" t="s">
        <v>34</v>
      </c>
      <c r="R926" s="5">
        <v>2152</v>
      </c>
      <c r="S926" s="5">
        <v>42.371477320488601</v>
      </c>
      <c r="T926" s="5">
        <v>-71.048131850000004</v>
      </c>
    </row>
    <row r="927" spans="1:20" x14ac:dyDescent="0.3">
      <c r="A927" s="5" t="s">
        <v>3206</v>
      </c>
      <c r="B927" s="6">
        <v>12290</v>
      </c>
      <c r="C927" s="6" t="str">
        <f t="shared" si="272"/>
        <v>Active/Unavailable</v>
      </c>
      <c r="D927" s="5" t="s">
        <v>29</v>
      </c>
      <c r="E927" s="5" t="s">
        <v>3207</v>
      </c>
      <c r="F927" s="5" t="s">
        <v>3208</v>
      </c>
      <c r="G927" s="5" t="str">
        <f t="shared" si="267"/>
        <v>Not Available</v>
      </c>
      <c r="H927" s="5" t="str">
        <f t="shared" si="271"/>
        <v>Not Available</v>
      </c>
      <c r="I927" s="5" t="s">
        <v>22</v>
      </c>
      <c r="J927" s="5" t="s">
        <v>3389</v>
      </c>
      <c r="K927" s="5" t="s">
        <v>3393</v>
      </c>
      <c r="L927" s="5" t="s">
        <v>22</v>
      </c>
      <c r="M927" s="5" t="s">
        <v>3459</v>
      </c>
      <c r="N927" s="5" t="s">
        <v>3209</v>
      </c>
      <c r="O927" s="5" t="s">
        <v>33</v>
      </c>
      <c r="P927" s="5" t="s">
        <v>26</v>
      </c>
      <c r="Q927" s="5" t="s">
        <v>34</v>
      </c>
      <c r="R927" s="5">
        <v>2124</v>
      </c>
      <c r="S927" s="5">
        <v>42.3150682718843</v>
      </c>
      <c r="T927" s="5">
        <v>-71.020324500000001</v>
      </c>
    </row>
    <row r="928" spans="1:20" x14ac:dyDescent="0.3">
      <c r="A928" s="5" t="s">
        <v>3210</v>
      </c>
      <c r="B928" s="6">
        <v>28494</v>
      </c>
      <c r="C928" s="6" t="str">
        <f t="shared" si="272"/>
        <v>Active/Unavailable</v>
      </c>
      <c r="D928" s="5" t="s">
        <v>29</v>
      </c>
      <c r="E928" s="5" t="s">
        <v>3211</v>
      </c>
      <c r="F928" s="5" t="s">
        <v>820</v>
      </c>
      <c r="G928" s="5" t="str">
        <f t="shared" si="267"/>
        <v>Not Available</v>
      </c>
      <c r="H928" s="5" t="str">
        <f t="shared" si="271"/>
        <v>Not Available</v>
      </c>
      <c r="I928" s="5" t="s">
        <v>22</v>
      </c>
      <c r="J928" s="5" t="s">
        <v>3387</v>
      </c>
      <c r="K928" s="5" t="s">
        <v>3393</v>
      </c>
      <c r="L928" s="5" t="s">
        <v>22</v>
      </c>
      <c r="M928" s="5" t="s">
        <v>3569</v>
      </c>
      <c r="N928" s="5" t="s">
        <v>3212</v>
      </c>
      <c r="O928" s="5" t="s">
        <v>574</v>
      </c>
      <c r="P928" s="5" t="s">
        <v>26</v>
      </c>
      <c r="Q928" s="5" t="s">
        <v>27</v>
      </c>
      <c r="R928" s="5">
        <v>2467</v>
      </c>
      <c r="S928" s="5">
        <v>42.327324847389001</v>
      </c>
      <c r="T928" s="5">
        <v>-71.148247940000005</v>
      </c>
    </row>
    <row r="929" spans="1:20" x14ac:dyDescent="0.3">
      <c r="A929" s="5" t="s">
        <v>3213</v>
      </c>
      <c r="B929" s="6">
        <v>31414</v>
      </c>
      <c r="C929" s="6" t="str">
        <f t="shared" si="272"/>
        <v>Active/Unavailable</v>
      </c>
      <c r="D929" s="5" t="s">
        <v>18</v>
      </c>
      <c r="E929" s="5" t="s">
        <v>3214</v>
      </c>
      <c r="F929" s="5" t="s">
        <v>3215</v>
      </c>
      <c r="G929" s="5" t="str">
        <f t="shared" si="267"/>
        <v>Not Available</v>
      </c>
      <c r="H929" s="5" t="s">
        <v>2203</v>
      </c>
      <c r="I929" s="5" t="s">
        <v>22</v>
      </c>
      <c r="J929" s="5" t="s">
        <v>3387</v>
      </c>
      <c r="K929" s="5" t="s">
        <v>3393</v>
      </c>
      <c r="L929" s="5" t="s">
        <v>23</v>
      </c>
      <c r="M929" s="5" t="s">
        <v>3415</v>
      </c>
      <c r="N929" s="5" t="s">
        <v>3216</v>
      </c>
      <c r="O929" s="5" t="s">
        <v>574</v>
      </c>
      <c r="P929" s="5" t="s">
        <v>26</v>
      </c>
      <c r="Q929" s="5" t="s">
        <v>27</v>
      </c>
      <c r="R929" s="5">
        <v>2467</v>
      </c>
      <c r="S929" s="5">
        <v>42.346630958674297</v>
      </c>
      <c r="T929" s="5">
        <v>-71.068241970000003</v>
      </c>
    </row>
    <row r="930" spans="1:20" x14ac:dyDescent="0.3">
      <c r="A930" s="5" t="s">
        <v>3217</v>
      </c>
      <c r="B930" s="6">
        <v>12355</v>
      </c>
      <c r="C930" s="6" t="str">
        <f t="shared" si="272"/>
        <v>Active/Unavailable</v>
      </c>
      <c r="D930" s="5" t="s">
        <v>18</v>
      </c>
      <c r="E930" s="5" t="s">
        <v>3218</v>
      </c>
      <c r="F930" s="5" t="s">
        <v>1571</v>
      </c>
      <c r="G930" s="5" t="str">
        <f t="shared" si="267"/>
        <v>Not Available</v>
      </c>
      <c r="H930" s="5" t="s">
        <v>49</v>
      </c>
      <c r="I930" s="5" t="s">
        <v>22</v>
      </c>
      <c r="J930" s="5" t="s">
        <v>3387</v>
      </c>
      <c r="K930" s="5" t="s">
        <v>3393</v>
      </c>
      <c r="L930" s="5" t="s">
        <v>23</v>
      </c>
      <c r="M930" s="5" t="s">
        <v>3403</v>
      </c>
      <c r="N930" s="5" t="s">
        <v>3219</v>
      </c>
      <c r="O930" s="5" t="s">
        <v>108</v>
      </c>
      <c r="P930" s="5" t="s">
        <v>26</v>
      </c>
      <c r="Q930" s="5" t="s">
        <v>34</v>
      </c>
      <c r="R930" s="5" t="str">
        <f>"0000"</f>
        <v>0000</v>
      </c>
      <c r="S930" s="5">
        <v>42.3854247947001</v>
      </c>
      <c r="T930" s="5">
        <v>-71.005103239999997</v>
      </c>
    </row>
    <row r="931" spans="1:20" x14ac:dyDescent="0.3">
      <c r="A931" s="5" t="s">
        <v>3220</v>
      </c>
      <c r="B931" s="6">
        <v>23238</v>
      </c>
      <c r="C931" s="6" t="str">
        <f t="shared" si="272"/>
        <v>Active/Unavailable</v>
      </c>
      <c r="D931" s="5" t="s">
        <v>29</v>
      </c>
      <c r="E931" s="5" t="s">
        <v>3221</v>
      </c>
      <c r="F931" s="5" t="s">
        <v>3222</v>
      </c>
      <c r="G931" s="5" t="str">
        <f t="shared" si="267"/>
        <v>Not Available</v>
      </c>
      <c r="H931" s="5" t="str">
        <f t="shared" ref="H931:H933" si="273">"Not Available"</f>
        <v>Not Available</v>
      </c>
      <c r="I931" s="5" t="s">
        <v>22</v>
      </c>
      <c r="J931" s="5" t="s">
        <v>3387</v>
      </c>
      <c r="K931" s="5" t="s">
        <v>3394</v>
      </c>
      <c r="L931" s="5" t="s">
        <v>22</v>
      </c>
      <c r="M931" s="5" t="s">
        <v>3519</v>
      </c>
      <c r="N931" s="5" t="s">
        <v>3223</v>
      </c>
      <c r="O931" s="5" t="s">
        <v>33</v>
      </c>
      <c r="P931" s="5" t="s">
        <v>26</v>
      </c>
      <c r="Q931" s="5" t="s">
        <v>34</v>
      </c>
      <c r="R931" s="5">
        <v>2124</v>
      </c>
      <c r="S931" s="5">
        <v>42.346697460000001</v>
      </c>
      <c r="T931" s="5">
        <v>-70.99533151</v>
      </c>
    </row>
    <row r="932" spans="1:20" x14ac:dyDescent="0.3">
      <c r="A932" s="5" t="s">
        <v>3224</v>
      </c>
      <c r="B932" s="6">
        <v>10599</v>
      </c>
      <c r="C932" s="6" t="str">
        <f t="shared" si="272"/>
        <v>Active/Unavailable</v>
      </c>
      <c r="D932" s="5" t="s">
        <v>100</v>
      </c>
      <c r="E932" s="5" t="s">
        <v>3225</v>
      </c>
      <c r="F932" s="5" t="s">
        <v>308</v>
      </c>
      <c r="G932" s="5" t="str">
        <f t="shared" si="267"/>
        <v>Not Available</v>
      </c>
      <c r="H932" s="5" t="str">
        <f t="shared" si="273"/>
        <v>Not Available</v>
      </c>
      <c r="I932" s="5" t="s">
        <v>65</v>
      </c>
      <c r="J932" s="5" t="s">
        <v>3387</v>
      </c>
      <c r="K932" s="5" t="s">
        <v>3393</v>
      </c>
      <c r="L932" s="5" t="s">
        <v>23</v>
      </c>
      <c r="M932" s="5" t="s">
        <v>3547</v>
      </c>
      <c r="N932" s="5" t="s">
        <v>3226</v>
      </c>
      <c r="O932" s="5" t="s">
        <v>56</v>
      </c>
      <c r="P932" s="5" t="s">
        <v>26</v>
      </c>
      <c r="Q932" s="5" t="s">
        <v>57</v>
      </c>
      <c r="R932" s="5">
        <v>2141</v>
      </c>
      <c r="S932" s="5">
        <v>42.339849014013602</v>
      </c>
      <c r="T932" s="5">
        <v>-71.118693969999995</v>
      </c>
    </row>
    <row r="933" spans="1:20" x14ac:dyDescent="0.3">
      <c r="A933" s="5" t="s">
        <v>3227</v>
      </c>
      <c r="B933" s="6">
        <v>11423</v>
      </c>
      <c r="C933" s="6">
        <v>42734</v>
      </c>
      <c r="D933" s="5" t="s">
        <v>29</v>
      </c>
      <c r="E933" s="5" t="s">
        <v>3228</v>
      </c>
      <c r="F933" s="5" t="s">
        <v>438</v>
      </c>
      <c r="G933" s="5" t="str">
        <f t="shared" si="267"/>
        <v>Not Available</v>
      </c>
      <c r="H933" s="5" t="str">
        <f t="shared" si="273"/>
        <v>Not Available</v>
      </c>
      <c r="I933" s="5" t="s">
        <v>22</v>
      </c>
      <c r="J933" s="5" t="s">
        <v>3387</v>
      </c>
      <c r="K933" s="5" t="s">
        <v>3393</v>
      </c>
      <c r="L933" s="5" t="s">
        <v>22</v>
      </c>
      <c r="M933" s="5" t="s">
        <v>3465</v>
      </c>
      <c r="N933" s="5" t="s">
        <v>3229</v>
      </c>
      <c r="O933" s="5" t="s">
        <v>33</v>
      </c>
      <c r="P933" s="5" t="s">
        <v>26</v>
      </c>
      <c r="Q933" s="5" t="s">
        <v>34</v>
      </c>
      <c r="R933" s="5">
        <v>2132</v>
      </c>
      <c r="S933" s="5">
        <v>42.324900958196302</v>
      </c>
      <c r="T933" s="5">
        <v>-71.068003640000001</v>
      </c>
    </row>
    <row r="934" spans="1:20" x14ac:dyDescent="0.3">
      <c r="A934" s="5" t="s">
        <v>3230</v>
      </c>
      <c r="B934" s="6">
        <v>19922</v>
      </c>
      <c r="C934" s="6" t="str">
        <f t="shared" ref="C934:C935" si="274">"Active/Unavailable"</f>
        <v>Active/Unavailable</v>
      </c>
      <c r="D934" s="5" t="s">
        <v>18</v>
      </c>
      <c r="E934" s="5" t="s">
        <v>3231</v>
      </c>
      <c r="F934" s="5" t="s">
        <v>1253</v>
      </c>
      <c r="G934" s="5" t="str">
        <f t="shared" si="267"/>
        <v>Not Available</v>
      </c>
      <c r="H934" s="5" t="s">
        <v>1051</v>
      </c>
      <c r="I934" s="5" t="s">
        <v>22</v>
      </c>
      <c r="J934" s="5" t="s">
        <v>3387</v>
      </c>
      <c r="K934" s="5" t="s">
        <v>3394</v>
      </c>
      <c r="L934" s="5" t="s">
        <v>23</v>
      </c>
      <c r="M934" s="5" t="s">
        <v>3481</v>
      </c>
      <c r="N934" s="5" t="s">
        <v>3232</v>
      </c>
      <c r="O934" s="5" t="s">
        <v>209</v>
      </c>
      <c r="P934" s="5" t="s">
        <v>26</v>
      </c>
      <c r="Q934" s="5" t="s">
        <v>27</v>
      </c>
      <c r="R934" s="5" t="str">
        <f>"0000"</f>
        <v>0000</v>
      </c>
      <c r="S934" s="5">
        <v>42.2292372283692</v>
      </c>
      <c r="T934" s="5">
        <v>-70.919775939999994</v>
      </c>
    </row>
    <row r="935" spans="1:20" x14ac:dyDescent="0.3">
      <c r="A935" s="5" t="s">
        <v>3233</v>
      </c>
      <c r="B935" s="6">
        <v>16753</v>
      </c>
      <c r="C935" s="6" t="str">
        <f t="shared" si="274"/>
        <v>Active/Unavailable</v>
      </c>
      <c r="D935" s="5" t="s">
        <v>100</v>
      </c>
      <c r="E935" s="5" t="s">
        <v>3234</v>
      </c>
      <c r="F935" s="5" t="s">
        <v>129</v>
      </c>
      <c r="G935" s="5" t="str">
        <f t="shared" si="267"/>
        <v>Not Available</v>
      </c>
      <c r="H935" s="5" t="str">
        <f t="shared" ref="H935:H937" si="275">"Not Available"</f>
        <v>Not Available</v>
      </c>
      <c r="I935" s="5" t="s">
        <v>65</v>
      </c>
      <c r="J935" s="5" t="s">
        <v>3390</v>
      </c>
      <c r="K935" s="5" t="s">
        <v>3393</v>
      </c>
      <c r="L935" s="5" t="s">
        <v>23</v>
      </c>
      <c r="M935" s="5" t="s">
        <v>3686</v>
      </c>
      <c r="N935" s="5" t="s">
        <v>3235</v>
      </c>
      <c r="O935" s="5" t="s">
        <v>33</v>
      </c>
      <c r="P935" s="5" t="s">
        <v>26</v>
      </c>
      <c r="Q935" s="5" t="s">
        <v>34</v>
      </c>
      <c r="R935" s="5">
        <v>2125</v>
      </c>
      <c r="S935" s="5">
        <v>42.337513892651899</v>
      </c>
      <c r="T935" s="5">
        <v>-71.062286090000001</v>
      </c>
    </row>
    <row r="936" spans="1:20" x14ac:dyDescent="0.3">
      <c r="A936" s="5" t="s">
        <v>3236</v>
      </c>
      <c r="B936" s="6">
        <v>19738</v>
      </c>
      <c r="C936" s="6">
        <v>44150</v>
      </c>
      <c r="D936" s="5" t="s">
        <v>29</v>
      </c>
      <c r="E936" s="5" t="s">
        <v>3237</v>
      </c>
      <c r="F936" s="5" t="s">
        <v>3238</v>
      </c>
      <c r="G936" s="5" t="str">
        <f t="shared" si="267"/>
        <v>Not Available</v>
      </c>
      <c r="H936" s="5" t="str">
        <f t="shared" si="275"/>
        <v>Not Available</v>
      </c>
      <c r="I936" s="5" t="s">
        <v>22</v>
      </c>
      <c r="J936" s="5" t="s">
        <v>3389</v>
      </c>
      <c r="K936" s="5" t="s">
        <v>3394</v>
      </c>
      <c r="L936" s="5" t="s">
        <v>22</v>
      </c>
      <c r="M936" s="5" t="s">
        <v>3479</v>
      </c>
      <c r="N936" s="5" t="s">
        <v>3239</v>
      </c>
      <c r="O936" s="5" t="s">
        <v>33</v>
      </c>
      <c r="P936" s="5" t="s">
        <v>26</v>
      </c>
      <c r="Q936" s="5" t="s">
        <v>34</v>
      </c>
      <c r="R936" s="5">
        <v>2120</v>
      </c>
      <c r="S936" s="5">
        <v>42.3357307589473</v>
      </c>
      <c r="T936" s="5">
        <v>-71.023054560000006</v>
      </c>
    </row>
    <row r="937" spans="1:20" x14ac:dyDescent="0.3">
      <c r="A937" s="5" t="s">
        <v>3240</v>
      </c>
      <c r="B937" s="6">
        <v>19738</v>
      </c>
      <c r="C937" s="6" t="str">
        <f t="shared" ref="C937:C950" si="276">"Active/Unavailable"</f>
        <v>Active/Unavailable</v>
      </c>
      <c r="D937" s="5" t="s">
        <v>29</v>
      </c>
      <c r="E937" s="5" t="s">
        <v>2698</v>
      </c>
      <c r="F937" s="5" t="s">
        <v>3386</v>
      </c>
      <c r="G937" s="5" t="str">
        <f t="shared" si="267"/>
        <v>Not Available</v>
      </c>
      <c r="H937" s="5" t="str">
        <f t="shared" si="275"/>
        <v>Not Available</v>
      </c>
      <c r="I937" s="5" t="s">
        <v>22</v>
      </c>
      <c r="J937" s="5" t="s">
        <v>3389</v>
      </c>
      <c r="K937" s="5" t="s">
        <v>3394</v>
      </c>
      <c r="L937" s="5" t="s">
        <v>22</v>
      </c>
      <c r="M937" s="5" t="s">
        <v>3519</v>
      </c>
      <c r="N937" s="5" t="s">
        <v>3241</v>
      </c>
      <c r="O937" s="5" t="s">
        <v>33</v>
      </c>
      <c r="P937" s="5" t="s">
        <v>26</v>
      </c>
      <c r="Q937" s="5" t="s">
        <v>34</v>
      </c>
      <c r="R937" s="5">
        <v>2127</v>
      </c>
      <c r="S937" s="5">
        <v>42.372601359911698</v>
      </c>
      <c r="T937" s="5">
        <v>-70.998672279999994</v>
      </c>
    </row>
    <row r="938" spans="1:20" x14ac:dyDescent="0.3">
      <c r="A938" s="5" t="s">
        <v>3242</v>
      </c>
      <c r="B938" s="6">
        <v>16784</v>
      </c>
      <c r="C938" s="6" t="str">
        <f t="shared" si="276"/>
        <v>Active/Unavailable</v>
      </c>
      <c r="D938" s="5" t="s">
        <v>18</v>
      </c>
      <c r="E938" s="5" t="s">
        <v>3243</v>
      </c>
      <c r="F938" s="5" t="s">
        <v>3244</v>
      </c>
      <c r="G938" s="5" t="str">
        <f t="shared" si="267"/>
        <v>Not Available</v>
      </c>
      <c r="H938" s="5" t="s">
        <v>785</v>
      </c>
      <c r="I938" s="5" t="s">
        <v>22</v>
      </c>
      <c r="J938" s="5" t="s">
        <v>3387</v>
      </c>
      <c r="K938" s="5" t="s">
        <v>3393</v>
      </c>
      <c r="L938" s="5" t="s">
        <v>23</v>
      </c>
      <c r="M938" s="5" t="s">
        <v>3515</v>
      </c>
      <c r="N938" s="5" t="s">
        <v>3245</v>
      </c>
      <c r="O938" s="5" t="s">
        <v>33</v>
      </c>
      <c r="P938" s="5" t="s">
        <v>26</v>
      </c>
      <c r="Q938" s="5" t="s">
        <v>34</v>
      </c>
      <c r="R938" s="5">
        <v>2128</v>
      </c>
      <c r="S938" s="5">
        <v>42.321580429999997</v>
      </c>
      <c r="T938" s="5">
        <v>-71.133109640000001</v>
      </c>
    </row>
    <row r="939" spans="1:20" x14ac:dyDescent="0.3">
      <c r="A939" s="5" t="s">
        <v>3246</v>
      </c>
      <c r="B939" s="6">
        <v>27146</v>
      </c>
      <c r="C939" s="6" t="str">
        <f t="shared" si="276"/>
        <v>Active/Unavailable</v>
      </c>
      <c r="D939" s="5" t="s">
        <v>29</v>
      </c>
      <c r="E939" s="5" t="s">
        <v>3247</v>
      </c>
      <c r="F939" s="5" t="s">
        <v>629</v>
      </c>
      <c r="G939" s="5" t="str">
        <f t="shared" si="267"/>
        <v>Not Available</v>
      </c>
      <c r="H939" s="5" t="str">
        <f t="shared" ref="H939:H942" si="277">"Not Available"</f>
        <v>Not Available</v>
      </c>
      <c r="I939" s="5" t="s">
        <v>22</v>
      </c>
      <c r="J939" s="5" t="s">
        <v>3387</v>
      </c>
      <c r="K939" s="5" t="s">
        <v>3393</v>
      </c>
      <c r="L939" s="5" t="s">
        <v>22</v>
      </c>
      <c r="M939" s="5" t="s">
        <v>3517</v>
      </c>
      <c r="N939" s="5" t="s">
        <v>3248</v>
      </c>
      <c r="O939" s="5" t="s">
        <v>172</v>
      </c>
      <c r="P939" s="5" t="s">
        <v>26</v>
      </c>
      <c r="Q939" s="5" t="s">
        <v>34</v>
      </c>
      <c r="R939" s="5" t="str">
        <f>"0000"</f>
        <v>0000</v>
      </c>
      <c r="S939" s="5">
        <v>42.363612348420503</v>
      </c>
      <c r="T939" s="5">
        <v>-70.992196710000002</v>
      </c>
    </row>
    <row r="940" spans="1:20" x14ac:dyDescent="0.3">
      <c r="A940" s="5" t="s">
        <v>3249</v>
      </c>
      <c r="B940" s="6">
        <v>31400</v>
      </c>
      <c r="C940" s="6" t="str">
        <f t="shared" si="276"/>
        <v>Active/Unavailable</v>
      </c>
      <c r="D940" s="5" t="s">
        <v>29</v>
      </c>
      <c r="E940" s="5" t="s">
        <v>3250</v>
      </c>
      <c r="F940" s="5" t="s">
        <v>1395</v>
      </c>
      <c r="G940" s="5" t="str">
        <f t="shared" si="267"/>
        <v>Not Available</v>
      </c>
      <c r="H940" s="5" t="str">
        <f t="shared" si="277"/>
        <v>Not Available</v>
      </c>
      <c r="I940" s="5" t="s">
        <v>22</v>
      </c>
      <c r="J940" s="5" t="s">
        <v>3387</v>
      </c>
      <c r="K940" s="5" t="s">
        <v>3393</v>
      </c>
      <c r="L940" s="5" t="s">
        <v>22</v>
      </c>
      <c r="M940" s="5" t="s">
        <v>3529</v>
      </c>
      <c r="N940" s="5" t="s">
        <v>3251</v>
      </c>
      <c r="O940" s="5" t="s">
        <v>33</v>
      </c>
      <c r="P940" s="5" t="s">
        <v>26</v>
      </c>
      <c r="Q940" s="5" t="s">
        <v>34</v>
      </c>
      <c r="R940" s="5">
        <v>2127</v>
      </c>
      <c r="S940" s="5">
        <v>42.351608185561197</v>
      </c>
      <c r="T940" s="5">
        <v>-71.035367579999999</v>
      </c>
    </row>
    <row r="941" spans="1:20" x14ac:dyDescent="0.3">
      <c r="A941" s="5" t="s">
        <v>3252</v>
      </c>
      <c r="B941" s="6">
        <v>18954</v>
      </c>
      <c r="C941" s="6" t="str">
        <f t="shared" si="276"/>
        <v>Active/Unavailable</v>
      </c>
      <c r="D941" s="5" t="s">
        <v>29</v>
      </c>
      <c r="E941" s="5" t="s">
        <v>571</v>
      </c>
      <c r="F941" s="5" t="s">
        <v>226</v>
      </c>
      <c r="G941" s="5" t="str">
        <f t="shared" si="267"/>
        <v>Not Available</v>
      </c>
      <c r="H941" s="5" t="str">
        <f t="shared" si="277"/>
        <v>Not Available</v>
      </c>
      <c r="I941" s="5" t="s">
        <v>22</v>
      </c>
      <c r="J941" s="5" t="s">
        <v>3387</v>
      </c>
      <c r="K941" s="5" t="s">
        <v>3393</v>
      </c>
      <c r="L941" s="5" t="s">
        <v>22</v>
      </c>
      <c r="M941" s="5" t="s">
        <v>3517</v>
      </c>
      <c r="N941" s="5" t="s">
        <v>3253</v>
      </c>
      <c r="O941" s="5" t="s">
        <v>56</v>
      </c>
      <c r="P941" s="5" t="s">
        <v>26</v>
      </c>
      <c r="Q941" s="5" t="s">
        <v>57</v>
      </c>
      <c r="R941" s="5">
        <v>2138</v>
      </c>
      <c r="S941" s="5">
        <v>42.3592358907541</v>
      </c>
      <c r="T941" s="5">
        <v>-71.049744950000004</v>
      </c>
    </row>
    <row r="942" spans="1:20" x14ac:dyDescent="0.3">
      <c r="A942" s="5" t="s">
        <v>3254</v>
      </c>
      <c r="B942" s="6">
        <v>12777</v>
      </c>
      <c r="C942" s="6" t="str">
        <f t="shared" si="276"/>
        <v>Active/Unavailable</v>
      </c>
      <c r="D942" s="5" t="s">
        <v>29</v>
      </c>
      <c r="E942" s="5" t="s">
        <v>3255</v>
      </c>
      <c r="F942" s="5" t="s">
        <v>389</v>
      </c>
      <c r="G942" s="5" t="str">
        <f t="shared" si="267"/>
        <v>Not Available</v>
      </c>
      <c r="H942" s="5" t="str">
        <f t="shared" si="277"/>
        <v>Not Available</v>
      </c>
      <c r="I942" s="5" t="s">
        <v>22</v>
      </c>
      <c r="J942" s="5" t="s">
        <v>3389</v>
      </c>
      <c r="K942" s="5" t="s">
        <v>3393</v>
      </c>
      <c r="L942" s="5" t="s">
        <v>22</v>
      </c>
      <c r="M942" s="5" t="s">
        <v>3415</v>
      </c>
      <c r="N942" s="5" t="s">
        <v>3256</v>
      </c>
      <c r="O942" s="5" t="s">
        <v>2597</v>
      </c>
      <c r="P942" s="5" t="s">
        <v>26</v>
      </c>
      <c r="Q942" s="5" t="s">
        <v>317</v>
      </c>
      <c r="R942" s="5">
        <v>2060</v>
      </c>
      <c r="S942" s="5">
        <v>42.2539309507832</v>
      </c>
      <c r="T942" s="5">
        <v>-70.773476680000002</v>
      </c>
    </row>
    <row r="943" spans="1:20" x14ac:dyDescent="0.3">
      <c r="A943" s="5" t="s">
        <v>3257</v>
      </c>
      <c r="B943" s="6">
        <v>20645</v>
      </c>
      <c r="C943" s="6" t="str">
        <f t="shared" si="276"/>
        <v>Active/Unavailable</v>
      </c>
      <c r="D943" s="5" t="s">
        <v>18</v>
      </c>
      <c r="E943" s="5" t="s">
        <v>1504</v>
      </c>
      <c r="F943" s="5" t="s">
        <v>134</v>
      </c>
      <c r="G943" s="5" t="str">
        <f t="shared" ref="G943:G975" si="278">"Not Available"</f>
        <v>Not Available</v>
      </c>
      <c r="H943" s="5" t="s">
        <v>2823</v>
      </c>
      <c r="I943" s="5" t="s">
        <v>22</v>
      </c>
      <c r="J943" s="5" t="s">
        <v>3392</v>
      </c>
      <c r="K943" s="5" t="s">
        <v>3394</v>
      </c>
      <c r="L943" s="5" t="s">
        <v>23</v>
      </c>
      <c r="M943" s="5" t="s">
        <v>3687</v>
      </c>
      <c r="N943" s="5" t="s">
        <v>3258</v>
      </c>
      <c r="O943" s="5" t="s">
        <v>108</v>
      </c>
      <c r="P943" s="5" t="s">
        <v>26</v>
      </c>
      <c r="Q943" s="5" t="s">
        <v>34</v>
      </c>
      <c r="R943" s="5" t="str">
        <f>"0000"</f>
        <v>0000</v>
      </c>
      <c r="S943" s="5">
        <v>42.380870775034303</v>
      </c>
      <c r="T943" s="5">
        <v>-71.002990490000002</v>
      </c>
    </row>
    <row r="944" spans="1:20" x14ac:dyDescent="0.3">
      <c r="A944" s="5" t="s">
        <v>3259</v>
      </c>
      <c r="B944" s="6">
        <v>25214</v>
      </c>
      <c r="C944" s="6" t="str">
        <f t="shared" si="276"/>
        <v>Active/Unavailable</v>
      </c>
      <c r="D944" s="5" t="s">
        <v>29</v>
      </c>
      <c r="E944" s="5" t="s">
        <v>3260</v>
      </c>
      <c r="F944" s="5" t="s">
        <v>250</v>
      </c>
      <c r="G944" s="5" t="str">
        <f t="shared" si="278"/>
        <v>Not Available</v>
      </c>
      <c r="H944" s="5" t="str">
        <f>"Not Available"</f>
        <v>Not Available</v>
      </c>
      <c r="I944" s="5" t="s">
        <v>65</v>
      </c>
      <c r="J944" s="5" t="s">
        <v>3389</v>
      </c>
      <c r="K944" s="5" t="s">
        <v>3393</v>
      </c>
      <c r="L944" s="5" t="s">
        <v>22</v>
      </c>
      <c r="M944" s="5" t="s">
        <v>3608</v>
      </c>
      <c r="N944" s="5" t="s">
        <v>3261</v>
      </c>
      <c r="O944" s="5" t="s">
        <v>108</v>
      </c>
      <c r="P944" s="5" t="s">
        <v>26</v>
      </c>
      <c r="Q944" s="5" t="s">
        <v>34</v>
      </c>
      <c r="R944" s="5">
        <v>2151</v>
      </c>
      <c r="S944" s="5">
        <v>42.374723838419698</v>
      </c>
      <c r="T944" s="5">
        <v>-71.000571730000004</v>
      </c>
    </row>
    <row r="945" spans="1:20" x14ac:dyDescent="0.3">
      <c r="A945" s="5" t="s">
        <v>3262</v>
      </c>
      <c r="B945" s="6">
        <v>29554</v>
      </c>
      <c r="C945" s="6" t="str">
        <f t="shared" si="276"/>
        <v>Active/Unavailable</v>
      </c>
      <c r="D945" s="5" t="s">
        <v>18</v>
      </c>
      <c r="E945" s="5" t="s">
        <v>3263</v>
      </c>
      <c r="F945" s="5" t="s">
        <v>668</v>
      </c>
      <c r="G945" s="5" t="str">
        <f t="shared" si="278"/>
        <v>Not Available</v>
      </c>
      <c r="H945" s="5" t="s">
        <v>437</v>
      </c>
      <c r="I945" s="5" t="s">
        <v>22</v>
      </c>
      <c r="J945" s="5" t="s">
        <v>3387</v>
      </c>
      <c r="K945" s="5" t="s">
        <v>3393</v>
      </c>
      <c r="L945" s="5" t="s">
        <v>23</v>
      </c>
      <c r="M945" s="5" t="s">
        <v>3625</v>
      </c>
      <c r="N945" s="5" t="s">
        <v>3264</v>
      </c>
      <c r="O945" s="5" t="s">
        <v>33</v>
      </c>
      <c r="P945" s="5" t="s">
        <v>26</v>
      </c>
      <c r="Q945" s="5" t="s">
        <v>34</v>
      </c>
      <c r="R945" s="5">
        <v>2199</v>
      </c>
      <c r="S945" s="5">
        <v>42.359831143305101</v>
      </c>
      <c r="T945" s="5">
        <v>-71.063779299999993</v>
      </c>
    </row>
    <row r="946" spans="1:20" x14ac:dyDescent="0.3">
      <c r="A946" s="5" t="s">
        <v>3265</v>
      </c>
      <c r="B946" s="6">
        <v>15963</v>
      </c>
      <c r="C946" s="6" t="str">
        <f t="shared" si="276"/>
        <v>Active/Unavailable</v>
      </c>
      <c r="D946" s="5" t="s">
        <v>100</v>
      </c>
      <c r="E946" s="5" t="s">
        <v>3266</v>
      </c>
      <c r="F946" s="5" t="s">
        <v>3202</v>
      </c>
      <c r="G946" s="5" t="str">
        <f t="shared" si="278"/>
        <v>Not Available</v>
      </c>
      <c r="H946" s="5" t="str">
        <f>"Not Available"</f>
        <v>Not Available</v>
      </c>
      <c r="I946" s="5" t="s">
        <v>65</v>
      </c>
      <c r="J946" s="5" t="s">
        <v>3389</v>
      </c>
      <c r="K946" s="5" t="s">
        <v>3393</v>
      </c>
      <c r="L946" s="5" t="s">
        <v>23</v>
      </c>
      <c r="M946" s="5" t="s">
        <v>3506</v>
      </c>
      <c r="N946" s="5" t="s">
        <v>3267</v>
      </c>
      <c r="O946" s="5" t="s">
        <v>33</v>
      </c>
      <c r="P946" s="5" t="s">
        <v>26</v>
      </c>
      <c r="Q946" s="5" t="s">
        <v>34</v>
      </c>
      <c r="R946" s="5">
        <v>2113</v>
      </c>
      <c r="S946" s="5">
        <v>42.308426622830602</v>
      </c>
      <c r="T946" s="5">
        <v>-71.037589240000003</v>
      </c>
    </row>
    <row r="947" spans="1:20" x14ac:dyDescent="0.3">
      <c r="A947" s="5" t="s">
        <v>3268</v>
      </c>
      <c r="B947" s="6">
        <v>28105</v>
      </c>
      <c r="C947" s="6" t="str">
        <f t="shared" si="276"/>
        <v>Active/Unavailable</v>
      </c>
      <c r="D947" s="5" t="s">
        <v>18</v>
      </c>
      <c r="E947" s="5" t="s">
        <v>3269</v>
      </c>
      <c r="F947" s="5" t="s">
        <v>1253</v>
      </c>
      <c r="G947" s="5" t="str">
        <f t="shared" si="278"/>
        <v>Not Available</v>
      </c>
      <c r="H947" s="5" t="s">
        <v>1237</v>
      </c>
      <c r="I947" s="5" t="s">
        <v>22</v>
      </c>
      <c r="J947" s="5" t="s">
        <v>3388</v>
      </c>
      <c r="K947" s="5" t="s">
        <v>3393</v>
      </c>
      <c r="L947" s="5" t="s">
        <v>23</v>
      </c>
      <c r="M947" s="5" t="s">
        <v>3421</v>
      </c>
      <c r="N947" s="5" t="s">
        <v>3270</v>
      </c>
      <c r="O947" s="5" t="s">
        <v>574</v>
      </c>
      <c r="P947" s="5" t="s">
        <v>26</v>
      </c>
      <c r="Q947" s="5" t="s">
        <v>27</v>
      </c>
      <c r="R947" s="5">
        <v>2445</v>
      </c>
      <c r="S947" s="5">
        <v>42.3445497892871</v>
      </c>
      <c r="T947" s="5">
        <v>-71.158774070000007</v>
      </c>
    </row>
    <row r="948" spans="1:20" x14ac:dyDescent="0.3">
      <c r="A948" s="5" t="s">
        <v>3271</v>
      </c>
      <c r="B948" s="6">
        <v>8971</v>
      </c>
      <c r="C948" s="6" t="str">
        <f t="shared" si="276"/>
        <v>Active/Unavailable</v>
      </c>
      <c r="D948" s="5" t="s">
        <v>18</v>
      </c>
      <c r="E948" s="5" t="s">
        <v>3272</v>
      </c>
      <c r="F948" s="5" t="s">
        <v>3273</v>
      </c>
      <c r="G948" s="5" t="str">
        <f t="shared" si="278"/>
        <v>Not Available</v>
      </c>
      <c r="H948" s="5" t="s">
        <v>3274</v>
      </c>
      <c r="I948" s="5" t="s">
        <v>22</v>
      </c>
      <c r="J948" s="5" t="s">
        <v>3391</v>
      </c>
      <c r="K948" s="5" t="s">
        <v>3393</v>
      </c>
      <c r="L948" s="5" t="s">
        <v>23</v>
      </c>
      <c r="M948" s="5" t="s">
        <v>3470</v>
      </c>
      <c r="N948" s="5" t="s">
        <v>3715</v>
      </c>
      <c r="O948" s="5" t="s">
        <v>33</v>
      </c>
      <c r="P948" s="5" t="s">
        <v>26</v>
      </c>
      <c r="Q948" s="5" t="s">
        <v>34</v>
      </c>
      <c r="R948" s="5">
        <v>2131</v>
      </c>
      <c r="S948" s="5">
        <v>42.384634626889998</v>
      </c>
      <c r="T948" s="5">
        <v>-71.011040940000001</v>
      </c>
    </row>
    <row r="949" spans="1:20" x14ac:dyDescent="0.3">
      <c r="A949" s="5" t="s">
        <v>3275</v>
      </c>
      <c r="B949" s="6">
        <v>28095</v>
      </c>
      <c r="C949" s="6" t="str">
        <f t="shared" si="276"/>
        <v>Active/Unavailable</v>
      </c>
      <c r="D949" s="5" t="s">
        <v>18</v>
      </c>
      <c r="E949" s="5" t="s">
        <v>2404</v>
      </c>
      <c r="F949" s="5" t="s">
        <v>1148</v>
      </c>
      <c r="G949" s="5" t="str">
        <f t="shared" si="278"/>
        <v>Not Available</v>
      </c>
      <c r="H949" s="5" t="s">
        <v>2370</v>
      </c>
      <c r="I949" s="5" t="s">
        <v>22</v>
      </c>
      <c r="J949" s="5" t="s">
        <v>3387</v>
      </c>
      <c r="K949" s="5" t="s">
        <v>3393</v>
      </c>
      <c r="L949" s="5" t="s">
        <v>23</v>
      </c>
      <c r="M949" s="5" t="s">
        <v>3410</v>
      </c>
      <c r="N949" s="5" t="s">
        <v>3276</v>
      </c>
      <c r="O949" s="5" t="s">
        <v>209</v>
      </c>
      <c r="P949" s="5" t="s">
        <v>26</v>
      </c>
      <c r="Q949" s="5" t="s">
        <v>27</v>
      </c>
      <c r="R949" s="5">
        <v>2191</v>
      </c>
      <c r="S949" s="5">
        <v>42.223976711255098</v>
      </c>
      <c r="T949" s="5">
        <v>-70.907154989999995</v>
      </c>
    </row>
    <row r="950" spans="1:20" x14ac:dyDescent="0.3">
      <c r="A950" s="5" t="s">
        <v>3277</v>
      </c>
      <c r="B950" s="6">
        <v>31915</v>
      </c>
      <c r="C950" s="6" t="str">
        <f t="shared" si="276"/>
        <v>Active/Unavailable</v>
      </c>
      <c r="D950" s="5" t="s">
        <v>18</v>
      </c>
      <c r="E950" s="5" t="s">
        <v>3278</v>
      </c>
      <c r="F950" s="5" t="s">
        <v>3202</v>
      </c>
      <c r="G950" s="5" t="str">
        <f t="shared" si="278"/>
        <v>Not Available</v>
      </c>
      <c r="H950" s="5" t="s">
        <v>308</v>
      </c>
      <c r="I950" s="5" t="s">
        <v>22</v>
      </c>
      <c r="J950" s="5" t="s">
        <v>3389</v>
      </c>
      <c r="K950" s="5" t="s">
        <v>3393</v>
      </c>
      <c r="L950" s="5" t="s">
        <v>23</v>
      </c>
      <c r="M950" s="5" t="s">
        <v>3447</v>
      </c>
      <c r="N950" s="5" t="s">
        <v>3279</v>
      </c>
      <c r="O950" s="5" t="s">
        <v>172</v>
      </c>
      <c r="P950" s="5" t="s">
        <v>26</v>
      </c>
      <c r="Q950" s="5" t="s">
        <v>34</v>
      </c>
      <c r="R950" s="5" t="str">
        <f>"0000"</f>
        <v>0000</v>
      </c>
      <c r="S950" s="5">
        <v>42.357599544491997</v>
      </c>
      <c r="T950" s="5">
        <v>-71.039841640000006</v>
      </c>
    </row>
    <row r="951" spans="1:20" x14ac:dyDescent="0.3">
      <c r="A951" s="5" t="s">
        <v>3280</v>
      </c>
      <c r="B951" s="6">
        <v>13762</v>
      </c>
      <c r="C951" s="6">
        <v>43236</v>
      </c>
      <c r="D951" s="5" t="s">
        <v>29</v>
      </c>
      <c r="E951" s="5" t="s">
        <v>3281</v>
      </c>
      <c r="F951" s="5" t="s">
        <v>490</v>
      </c>
      <c r="G951" s="5" t="str">
        <f t="shared" si="278"/>
        <v>Not Available</v>
      </c>
      <c r="H951" s="5" t="str">
        <f t="shared" ref="H951:H952" si="279">"Not Available"</f>
        <v>Not Available</v>
      </c>
      <c r="I951" s="5" t="s">
        <v>65</v>
      </c>
      <c r="J951" s="5" t="s">
        <v>3388</v>
      </c>
      <c r="K951" s="5" t="s">
        <v>3393</v>
      </c>
      <c r="L951" s="5" t="s">
        <v>22</v>
      </c>
      <c r="M951" s="5" t="s">
        <v>3688</v>
      </c>
      <c r="N951" s="5" t="s">
        <v>3282</v>
      </c>
      <c r="O951" s="5" t="s">
        <v>33</v>
      </c>
      <c r="P951" s="5" t="s">
        <v>26</v>
      </c>
      <c r="Q951" s="5" t="s">
        <v>34</v>
      </c>
      <c r="R951" s="5">
        <v>2126</v>
      </c>
      <c r="S951" s="5">
        <v>42.362748377348197</v>
      </c>
      <c r="T951" s="5">
        <v>-70.990851340000006</v>
      </c>
    </row>
    <row r="952" spans="1:20" x14ac:dyDescent="0.3">
      <c r="A952" s="5" t="s">
        <v>3283</v>
      </c>
      <c r="B952" s="6">
        <v>13762</v>
      </c>
      <c r="C952" s="6" t="str">
        <f t="shared" ref="C952:C964" si="280">"Active/Unavailable"</f>
        <v>Active/Unavailable</v>
      </c>
      <c r="D952" s="5" t="s">
        <v>29</v>
      </c>
      <c r="E952" s="5" t="s">
        <v>3284</v>
      </c>
      <c r="F952" s="5" t="s">
        <v>2769</v>
      </c>
      <c r="G952" s="5" t="str">
        <f t="shared" si="278"/>
        <v>Not Available</v>
      </c>
      <c r="H952" s="5" t="str">
        <f t="shared" si="279"/>
        <v>Not Available</v>
      </c>
      <c r="I952" s="5" t="s">
        <v>22</v>
      </c>
      <c r="J952" s="5" t="s">
        <v>3388</v>
      </c>
      <c r="K952" s="5" t="s">
        <v>3393</v>
      </c>
      <c r="L952" s="5" t="s">
        <v>22</v>
      </c>
      <c r="M952" s="5" t="s">
        <v>3423</v>
      </c>
      <c r="N952" s="5" t="s">
        <v>3285</v>
      </c>
      <c r="O952" s="5" t="s">
        <v>33</v>
      </c>
      <c r="P952" s="5" t="s">
        <v>26</v>
      </c>
      <c r="Q952" s="5" t="s">
        <v>34</v>
      </c>
      <c r="R952" s="5">
        <v>2210</v>
      </c>
      <c r="S952" s="5">
        <v>42.359152660348798</v>
      </c>
      <c r="T952" s="5">
        <v>-71.151896780000001</v>
      </c>
    </row>
    <row r="953" spans="1:20" x14ac:dyDescent="0.3">
      <c r="A953" s="5" t="s">
        <v>3286</v>
      </c>
      <c r="B953" s="6">
        <v>23502</v>
      </c>
      <c r="C953" s="6" t="str">
        <f t="shared" si="280"/>
        <v>Active/Unavailable</v>
      </c>
      <c r="D953" s="5" t="s">
        <v>18</v>
      </c>
      <c r="E953" s="5" t="s">
        <v>3287</v>
      </c>
      <c r="F953" s="5" t="s">
        <v>3372</v>
      </c>
      <c r="G953" s="5" t="str">
        <f t="shared" si="278"/>
        <v>Not Available</v>
      </c>
      <c r="H953" s="5" t="s">
        <v>2408</v>
      </c>
      <c r="I953" s="5" t="s">
        <v>22</v>
      </c>
      <c r="J953" s="5" t="s">
        <v>3387</v>
      </c>
      <c r="K953" s="5" t="s">
        <v>3393</v>
      </c>
      <c r="L953" s="5" t="s">
        <v>23</v>
      </c>
      <c r="M953" s="5" t="s">
        <v>3400</v>
      </c>
      <c r="N953" s="5" t="s">
        <v>3288</v>
      </c>
      <c r="O953" s="5" t="s">
        <v>33</v>
      </c>
      <c r="P953" s="5" t="s">
        <v>26</v>
      </c>
      <c r="Q953" s="5" t="s">
        <v>34</v>
      </c>
      <c r="R953" s="5">
        <v>2128</v>
      </c>
      <c r="S953" s="5">
        <v>42.354868619053903</v>
      </c>
      <c r="T953" s="5">
        <v>-71.047334480000004</v>
      </c>
    </row>
    <row r="954" spans="1:20" x14ac:dyDescent="0.3">
      <c r="A954" s="5" t="s">
        <v>3289</v>
      </c>
      <c r="B954" s="6">
        <v>24565</v>
      </c>
      <c r="C954" s="6" t="str">
        <f t="shared" si="280"/>
        <v>Active/Unavailable</v>
      </c>
      <c r="D954" s="5" t="s">
        <v>18</v>
      </c>
      <c r="E954" s="5" t="s">
        <v>3290</v>
      </c>
      <c r="F954" s="5" t="s">
        <v>3291</v>
      </c>
      <c r="G954" s="5" t="str">
        <f t="shared" si="278"/>
        <v>Not Available</v>
      </c>
      <c r="H954" s="5" t="s">
        <v>3292</v>
      </c>
      <c r="I954" s="5" t="s">
        <v>22</v>
      </c>
      <c r="J954" s="5" t="s">
        <v>3387</v>
      </c>
      <c r="K954" s="5" t="s">
        <v>3394</v>
      </c>
      <c r="L954" s="5" t="s">
        <v>23</v>
      </c>
      <c r="M954" s="5" t="s">
        <v>3460</v>
      </c>
      <c r="N954" s="5" t="s">
        <v>3293</v>
      </c>
      <c r="O954" s="5" t="s">
        <v>33</v>
      </c>
      <c r="P954" s="5" t="s">
        <v>26</v>
      </c>
      <c r="Q954" s="5" t="s">
        <v>34</v>
      </c>
      <c r="R954" s="5">
        <v>2114</v>
      </c>
      <c r="S954" s="5">
        <v>42.357796856184102</v>
      </c>
      <c r="T954" s="5">
        <v>-71.132239249999998</v>
      </c>
    </row>
    <row r="955" spans="1:20" x14ac:dyDescent="0.3">
      <c r="A955" s="5" t="s">
        <v>3294</v>
      </c>
      <c r="B955" s="6">
        <v>33512</v>
      </c>
      <c r="C955" s="6" t="str">
        <f t="shared" si="280"/>
        <v>Active/Unavailable</v>
      </c>
      <c r="D955" s="5" t="s">
        <v>18</v>
      </c>
      <c r="E955" s="5" t="s">
        <v>3295</v>
      </c>
      <c r="F955" s="5" t="s">
        <v>2657</v>
      </c>
      <c r="G955" s="5" t="str">
        <f t="shared" si="278"/>
        <v>Not Available</v>
      </c>
      <c r="H955" s="5" t="s">
        <v>1872</v>
      </c>
      <c r="I955" s="5" t="s">
        <v>22</v>
      </c>
      <c r="J955" s="5" t="s">
        <v>3387</v>
      </c>
      <c r="K955" s="5" t="s">
        <v>3393</v>
      </c>
      <c r="L955" s="5" t="s">
        <v>23</v>
      </c>
      <c r="M955" s="5" t="s">
        <v>3436</v>
      </c>
      <c r="N955" s="5" t="s">
        <v>3296</v>
      </c>
      <c r="O955" s="5" t="s">
        <v>33</v>
      </c>
      <c r="P955" s="5" t="s">
        <v>26</v>
      </c>
      <c r="Q955" s="5" t="s">
        <v>34</v>
      </c>
      <c r="R955" s="5">
        <v>2163</v>
      </c>
      <c r="S955" s="5">
        <v>42.379766496670399</v>
      </c>
      <c r="T955" s="5">
        <v>-71.064379669999994</v>
      </c>
    </row>
    <row r="956" spans="1:20" x14ac:dyDescent="0.3">
      <c r="A956" s="5" t="s">
        <v>3297</v>
      </c>
      <c r="B956" s="6">
        <v>28051</v>
      </c>
      <c r="C956" s="6" t="str">
        <f t="shared" si="280"/>
        <v>Active/Unavailable</v>
      </c>
      <c r="D956" s="5" t="s">
        <v>29</v>
      </c>
      <c r="E956" s="5" t="s">
        <v>893</v>
      </c>
      <c r="F956" s="5" t="s">
        <v>1672</v>
      </c>
      <c r="G956" s="5" t="str">
        <f t="shared" si="278"/>
        <v>Not Available</v>
      </c>
      <c r="H956" s="5" t="str">
        <f t="shared" ref="H956:H957" si="281">"Not Available"</f>
        <v>Not Available</v>
      </c>
      <c r="I956" s="5" t="s">
        <v>22</v>
      </c>
      <c r="J956" s="5" t="s">
        <v>3387</v>
      </c>
      <c r="K956" s="5" t="s">
        <v>3393</v>
      </c>
      <c r="L956" s="5" t="s">
        <v>22</v>
      </c>
      <c r="M956" s="5" t="s">
        <v>3689</v>
      </c>
      <c r="N956" s="5" t="s">
        <v>3298</v>
      </c>
      <c r="O956" s="5" t="s">
        <v>33</v>
      </c>
      <c r="P956" s="5" t="s">
        <v>26</v>
      </c>
      <c r="Q956" s="5" t="s">
        <v>34</v>
      </c>
      <c r="R956" s="5">
        <v>2120</v>
      </c>
      <c r="S956" s="5">
        <v>42.352126523816601</v>
      </c>
      <c r="T956" s="5">
        <v>-71.057252559999995</v>
      </c>
    </row>
    <row r="957" spans="1:20" x14ac:dyDescent="0.3">
      <c r="A957" s="5" t="s">
        <v>3299</v>
      </c>
      <c r="B957" s="6">
        <v>12362</v>
      </c>
      <c r="C957" s="6" t="str">
        <f t="shared" si="280"/>
        <v>Active/Unavailable</v>
      </c>
      <c r="D957" s="5" t="s">
        <v>100</v>
      </c>
      <c r="E957" s="5" t="s">
        <v>3300</v>
      </c>
      <c r="F957" s="5" t="s">
        <v>727</v>
      </c>
      <c r="G957" s="5" t="str">
        <f t="shared" si="278"/>
        <v>Not Available</v>
      </c>
      <c r="H957" s="5" t="str">
        <f t="shared" si="281"/>
        <v>Not Available</v>
      </c>
      <c r="I957" s="5" t="s">
        <v>65</v>
      </c>
      <c r="J957" s="5" t="s">
        <v>3387</v>
      </c>
      <c r="K957" s="5" t="s">
        <v>3393</v>
      </c>
      <c r="L957" s="5" t="s">
        <v>23</v>
      </c>
      <c r="M957" s="5" t="s">
        <v>3470</v>
      </c>
      <c r="N957" s="5" t="s">
        <v>3301</v>
      </c>
      <c r="O957" s="5" t="s">
        <v>33</v>
      </c>
      <c r="P957" s="5" t="s">
        <v>26</v>
      </c>
      <c r="Q957" s="5" t="s">
        <v>34</v>
      </c>
      <c r="R957" s="5">
        <v>2131</v>
      </c>
      <c r="S957" s="5">
        <v>42.338475931755703</v>
      </c>
      <c r="T957" s="5">
        <v>-71.074489610000001</v>
      </c>
    </row>
    <row r="958" spans="1:20" x14ac:dyDescent="0.3">
      <c r="A958" s="5" t="s">
        <v>3302</v>
      </c>
      <c r="B958" s="6">
        <v>8742</v>
      </c>
      <c r="C958" s="6" t="str">
        <f t="shared" si="280"/>
        <v>Active/Unavailable</v>
      </c>
      <c r="D958" s="5" t="s">
        <v>18</v>
      </c>
      <c r="E958" s="5" t="s">
        <v>3303</v>
      </c>
      <c r="F958" s="5" t="s">
        <v>1932</v>
      </c>
      <c r="G958" s="5" t="str">
        <f t="shared" si="278"/>
        <v>Not Available</v>
      </c>
      <c r="H958" s="5" t="s">
        <v>1498</v>
      </c>
      <c r="I958" s="5" t="s">
        <v>22</v>
      </c>
      <c r="J958" s="5" t="s">
        <v>3387</v>
      </c>
      <c r="K958" s="5" t="s">
        <v>3393</v>
      </c>
      <c r="L958" s="5" t="s">
        <v>23</v>
      </c>
      <c r="M958" s="5" t="s">
        <v>3599</v>
      </c>
      <c r="N958" s="5" t="s">
        <v>3304</v>
      </c>
      <c r="O958" s="5" t="s">
        <v>33</v>
      </c>
      <c r="P958" s="5" t="s">
        <v>26</v>
      </c>
      <c r="Q958" s="5" t="s">
        <v>34</v>
      </c>
      <c r="R958" s="5">
        <v>2151</v>
      </c>
      <c r="S958" s="5">
        <v>42.356866343478302</v>
      </c>
      <c r="T958" s="5">
        <v>-70.965746109999998</v>
      </c>
    </row>
    <row r="959" spans="1:20" x14ac:dyDescent="0.3">
      <c r="A959" s="5" t="s">
        <v>3305</v>
      </c>
      <c r="B959" s="6">
        <v>20834</v>
      </c>
      <c r="C959" s="6" t="str">
        <f t="shared" si="280"/>
        <v>Active/Unavailable</v>
      </c>
      <c r="D959" s="5" t="s">
        <v>100</v>
      </c>
      <c r="E959" s="5" t="s">
        <v>3306</v>
      </c>
      <c r="F959" s="5" t="s">
        <v>230</v>
      </c>
      <c r="G959" s="5" t="str">
        <f t="shared" si="278"/>
        <v>Not Available</v>
      </c>
      <c r="H959" s="5" t="str">
        <f t="shared" ref="H959:H960" si="282">"Not Available"</f>
        <v>Not Available</v>
      </c>
      <c r="I959" s="5" t="s">
        <v>65</v>
      </c>
      <c r="J959" s="5" t="s">
        <v>3387</v>
      </c>
      <c r="K959" s="5" t="s">
        <v>3393</v>
      </c>
      <c r="L959" s="5" t="s">
        <v>23</v>
      </c>
      <c r="M959" s="5" t="s">
        <v>3507</v>
      </c>
      <c r="N959" s="5" t="s">
        <v>3307</v>
      </c>
      <c r="O959" s="5" t="s">
        <v>33</v>
      </c>
      <c r="P959" s="5" t="s">
        <v>26</v>
      </c>
      <c r="Q959" s="5" t="s">
        <v>34</v>
      </c>
      <c r="R959" s="5">
        <v>2113</v>
      </c>
      <c r="S959" s="5">
        <v>42.375207729336402</v>
      </c>
      <c r="T959" s="5">
        <v>-71.035317629999994</v>
      </c>
    </row>
    <row r="960" spans="1:20" x14ac:dyDescent="0.3">
      <c r="A960" s="5" t="s">
        <v>3308</v>
      </c>
      <c r="B960" s="6">
        <v>30984</v>
      </c>
      <c r="C960" s="6" t="str">
        <f t="shared" si="280"/>
        <v>Active/Unavailable</v>
      </c>
      <c r="D960" s="5" t="s">
        <v>29</v>
      </c>
      <c r="E960" s="5" t="s">
        <v>2194</v>
      </c>
      <c r="F960" s="5" t="s">
        <v>3309</v>
      </c>
      <c r="G960" s="5" t="str">
        <f t="shared" si="278"/>
        <v>Not Available</v>
      </c>
      <c r="H960" s="5" t="str">
        <f t="shared" si="282"/>
        <v>Not Available</v>
      </c>
      <c r="I960" s="5" t="s">
        <v>22</v>
      </c>
      <c r="J960" s="5" t="s">
        <v>3389</v>
      </c>
      <c r="K960" s="5" t="s">
        <v>3394</v>
      </c>
      <c r="L960" s="5" t="s">
        <v>22</v>
      </c>
      <c r="M960" s="5" t="s">
        <v>3690</v>
      </c>
      <c r="N960" s="5" t="s">
        <v>3310</v>
      </c>
      <c r="O960" s="5" t="s">
        <v>33</v>
      </c>
      <c r="P960" s="5" t="s">
        <v>26</v>
      </c>
      <c r="Q960" s="5" t="s">
        <v>34</v>
      </c>
      <c r="R960" s="5">
        <v>2109</v>
      </c>
      <c r="S960" s="5">
        <v>42.375843428497397</v>
      </c>
      <c r="T960" s="5">
        <v>-71.031105449999998</v>
      </c>
    </row>
    <row r="961" spans="1:20" x14ac:dyDescent="0.3">
      <c r="A961" s="5" t="s">
        <v>3311</v>
      </c>
      <c r="B961" s="6">
        <v>30887</v>
      </c>
      <c r="C961" s="6" t="str">
        <f t="shared" si="280"/>
        <v>Active/Unavailable</v>
      </c>
      <c r="D961" s="5" t="s">
        <v>18</v>
      </c>
      <c r="E961" s="5" t="s">
        <v>3312</v>
      </c>
      <c r="F961" s="5" t="s">
        <v>1525</v>
      </c>
      <c r="G961" s="5" t="str">
        <f t="shared" si="278"/>
        <v>Not Available</v>
      </c>
      <c r="H961" s="5" t="s">
        <v>1558</v>
      </c>
      <c r="I961" s="5" t="s">
        <v>22</v>
      </c>
      <c r="J961" s="5" t="s">
        <v>3387</v>
      </c>
      <c r="K961" s="5" t="s">
        <v>3393</v>
      </c>
      <c r="L961" s="5" t="s">
        <v>23</v>
      </c>
      <c r="M961" s="5" t="s">
        <v>3691</v>
      </c>
      <c r="N961" s="5" t="s">
        <v>3313</v>
      </c>
      <c r="O961" s="5" t="s">
        <v>209</v>
      </c>
      <c r="P961" s="5" t="s">
        <v>26</v>
      </c>
      <c r="Q961" s="5" t="s">
        <v>27</v>
      </c>
      <c r="R961" s="5">
        <v>2190</v>
      </c>
      <c r="S961" s="5">
        <v>42.275588416444798</v>
      </c>
      <c r="T961" s="5">
        <v>-70.972613690000003</v>
      </c>
    </row>
    <row r="962" spans="1:20" x14ac:dyDescent="0.3">
      <c r="A962" s="5" t="s">
        <v>3314</v>
      </c>
      <c r="B962" s="6">
        <v>23250</v>
      </c>
      <c r="C962" s="6" t="str">
        <f t="shared" si="280"/>
        <v>Active/Unavailable</v>
      </c>
      <c r="D962" s="5" t="s">
        <v>18</v>
      </c>
      <c r="E962" s="5" t="s">
        <v>840</v>
      </c>
      <c r="F962" s="5" t="s">
        <v>1439</v>
      </c>
      <c r="G962" s="5" t="str">
        <f t="shared" si="278"/>
        <v>Not Available</v>
      </c>
      <c r="H962" s="5" t="s">
        <v>1645</v>
      </c>
      <c r="I962" s="5" t="s">
        <v>22</v>
      </c>
      <c r="J962" s="5" t="s">
        <v>3387</v>
      </c>
      <c r="K962" s="5" t="s">
        <v>3393</v>
      </c>
      <c r="L962" s="5" t="s">
        <v>23</v>
      </c>
      <c r="M962" s="5" t="s">
        <v>3444</v>
      </c>
      <c r="N962" s="5" t="s">
        <v>3315</v>
      </c>
      <c r="O962" s="5" t="s">
        <v>25</v>
      </c>
      <c r="P962" s="5" t="s">
        <v>26</v>
      </c>
      <c r="Q962" s="5" t="s">
        <v>27</v>
      </c>
      <c r="R962" s="5">
        <v>2171</v>
      </c>
      <c r="S962" s="5">
        <v>42.306856064267102</v>
      </c>
      <c r="T962" s="5">
        <v>-71.000438439999996</v>
      </c>
    </row>
    <row r="963" spans="1:20" x14ac:dyDescent="0.3">
      <c r="A963" s="5" t="s">
        <v>3316</v>
      </c>
      <c r="B963" s="6">
        <v>19845</v>
      </c>
      <c r="C963" s="6" t="str">
        <f t="shared" si="280"/>
        <v>Active/Unavailable</v>
      </c>
      <c r="D963" s="5" t="s">
        <v>29</v>
      </c>
      <c r="E963" s="5" t="s">
        <v>2437</v>
      </c>
      <c r="F963" s="5" t="s">
        <v>3317</v>
      </c>
      <c r="G963" s="5" t="str">
        <f t="shared" si="278"/>
        <v>Not Available</v>
      </c>
      <c r="H963" s="5" t="str">
        <f t="shared" ref="H963:H968" si="283">"Not Available"</f>
        <v>Not Available</v>
      </c>
      <c r="I963" s="5" t="s">
        <v>22</v>
      </c>
      <c r="J963" s="5" t="s">
        <v>3389</v>
      </c>
      <c r="K963" s="5" t="s">
        <v>3394</v>
      </c>
      <c r="L963" s="5" t="s">
        <v>22</v>
      </c>
      <c r="M963" s="5" t="s">
        <v>3531</v>
      </c>
      <c r="N963" s="5" t="s">
        <v>3318</v>
      </c>
      <c r="O963" s="5" t="s">
        <v>33</v>
      </c>
      <c r="P963" s="5" t="s">
        <v>26</v>
      </c>
      <c r="Q963" s="5" t="s">
        <v>34</v>
      </c>
      <c r="R963" s="5">
        <v>2132</v>
      </c>
      <c r="S963" s="5">
        <v>42.318771805252403</v>
      </c>
      <c r="T963" s="5">
        <v>-71.0078551</v>
      </c>
    </row>
    <row r="964" spans="1:20" x14ac:dyDescent="0.3">
      <c r="A964" s="5" t="s">
        <v>3319</v>
      </c>
      <c r="B964" s="6">
        <v>32398</v>
      </c>
      <c r="C964" s="6" t="str">
        <f t="shared" si="280"/>
        <v>Active/Unavailable</v>
      </c>
      <c r="D964" s="5" t="s">
        <v>29</v>
      </c>
      <c r="E964" s="5" t="s">
        <v>3320</v>
      </c>
      <c r="F964" s="5" t="s">
        <v>1385</v>
      </c>
      <c r="G964" s="5" t="str">
        <f t="shared" si="278"/>
        <v>Not Available</v>
      </c>
      <c r="H964" s="5" t="str">
        <f t="shared" si="283"/>
        <v>Not Available</v>
      </c>
      <c r="I964" s="5" t="s">
        <v>22</v>
      </c>
      <c r="J964" s="5" t="s">
        <v>3387</v>
      </c>
      <c r="K964" s="5" t="s">
        <v>3393</v>
      </c>
      <c r="L964" s="5" t="s">
        <v>22</v>
      </c>
      <c r="M964" s="5" t="s">
        <v>3595</v>
      </c>
      <c r="N964" s="5" t="s">
        <v>3321</v>
      </c>
      <c r="O964" s="5" t="s">
        <v>25</v>
      </c>
      <c r="P964" s="5" t="s">
        <v>26</v>
      </c>
      <c r="Q964" s="5" t="s">
        <v>27</v>
      </c>
      <c r="R964" s="5" t="str">
        <f>"0000"</f>
        <v>0000</v>
      </c>
      <c r="S964" s="5">
        <v>42.2766766092494</v>
      </c>
      <c r="T964" s="5">
        <v>-70.987192669999999</v>
      </c>
    </row>
    <row r="965" spans="1:20" x14ac:dyDescent="0.3">
      <c r="A965" s="5" t="s">
        <v>3322</v>
      </c>
      <c r="B965" s="6">
        <v>17591</v>
      </c>
      <c r="C965" s="6">
        <v>42754</v>
      </c>
      <c r="D965" s="5" t="s">
        <v>100</v>
      </c>
      <c r="E965" s="5" t="s">
        <v>3323</v>
      </c>
      <c r="F965" s="5" t="s">
        <v>156</v>
      </c>
      <c r="G965" s="5" t="str">
        <f t="shared" si="278"/>
        <v>Not Available</v>
      </c>
      <c r="H965" s="5" t="str">
        <f t="shared" si="283"/>
        <v>Not Available</v>
      </c>
      <c r="I965" s="5" t="s">
        <v>65</v>
      </c>
      <c r="J965" s="5" t="s">
        <v>3389</v>
      </c>
      <c r="K965" s="5" t="s">
        <v>3393</v>
      </c>
      <c r="L965" s="5" t="s">
        <v>23</v>
      </c>
      <c r="M965" s="5" t="s">
        <v>3581</v>
      </c>
      <c r="N965" s="5" t="s">
        <v>3324</v>
      </c>
      <c r="O965" s="5" t="s">
        <v>33</v>
      </c>
      <c r="P965" s="5" t="s">
        <v>26</v>
      </c>
      <c r="Q965" s="5" t="s">
        <v>34</v>
      </c>
      <c r="R965" s="5">
        <v>2467</v>
      </c>
      <c r="S965" s="5">
        <v>42.396967553924803</v>
      </c>
      <c r="T965" s="5">
        <v>-71.003250629999997</v>
      </c>
    </row>
    <row r="966" spans="1:20" x14ac:dyDescent="0.3">
      <c r="A966" s="5" t="s">
        <v>3325</v>
      </c>
      <c r="B966" s="6">
        <v>21613</v>
      </c>
      <c r="C966" s="6">
        <v>41959</v>
      </c>
      <c r="D966" s="5" t="s">
        <v>29</v>
      </c>
      <c r="E966" s="5" t="s">
        <v>3326</v>
      </c>
      <c r="F966" s="5" t="s">
        <v>97</v>
      </c>
      <c r="G966" s="5" t="str">
        <f t="shared" si="278"/>
        <v>Not Available</v>
      </c>
      <c r="H966" s="5" t="str">
        <f t="shared" si="283"/>
        <v>Not Available</v>
      </c>
      <c r="I966" s="5" t="s">
        <v>22</v>
      </c>
      <c r="J966" s="5" t="s">
        <v>3388</v>
      </c>
      <c r="K966" s="5" t="s">
        <v>3393</v>
      </c>
      <c r="L966" s="5" t="s">
        <v>22</v>
      </c>
      <c r="M966" s="5" t="s">
        <v>3447</v>
      </c>
      <c r="N966" s="5" t="s">
        <v>3327</v>
      </c>
      <c r="O966" s="5" t="s">
        <v>373</v>
      </c>
      <c r="P966" s="5" t="s">
        <v>26</v>
      </c>
      <c r="Q966" s="5" t="s">
        <v>57</v>
      </c>
      <c r="R966" s="5">
        <v>2155</v>
      </c>
      <c r="S966" s="5">
        <v>42.416155654732897</v>
      </c>
      <c r="T966" s="5">
        <v>-71.125390589999995</v>
      </c>
    </row>
    <row r="967" spans="1:20" x14ac:dyDescent="0.3">
      <c r="A967" s="5" t="s">
        <v>3328</v>
      </c>
      <c r="B967" s="6">
        <v>16139</v>
      </c>
      <c r="C967" s="6" t="str">
        <f t="shared" ref="C967:C968" si="284">"Active/Unavailable"</f>
        <v>Active/Unavailable</v>
      </c>
      <c r="D967" s="5" t="s">
        <v>29</v>
      </c>
      <c r="E967" s="5" t="s">
        <v>1825</v>
      </c>
      <c r="F967" s="5" t="s">
        <v>630</v>
      </c>
      <c r="G967" s="5" t="str">
        <f t="shared" si="278"/>
        <v>Not Available</v>
      </c>
      <c r="H967" s="5" t="str">
        <f t="shared" si="283"/>
        <v>Not Available</v>
      </c>
      <c r="I967" s="5" t="s">
        <v>65</v>
      </c>
      <c r="J967" s="5" t="s">
        <v>3387</v>
      </c>
      <c r="K967" s="5" t="s">
        <v>3393</v>
      </c>
      <c r="L967" s="5" t="s">
        <v>22</v>
      </c>
      <c r="M967" s="5" t="s">
        <v>3444</v>
      </c>
      <c r="N967" s="5" t="s">
        <v>3329</v>
      </c>
      <c r="O967" s="5" t="s">
        <v>33</v>
      </c>
      <c r="P967" s="5" t="s">
        <v>26</v>
      </c>
      <c r="Q967" s="5" t="s">
        <v>34</v>
      </c>
      <c r="R967" s="5">
        <v>2110</v>
      </c>
      <c r="S967" s="5">
        <v>42.391092077491997</v>
      </c>
      <c r="T967" s="5">
        <v>-71.042204940000005</v>
      </c>
    </row>
    <row r="968" spans="1:20" x14ac:dyDescent="0.3">
      <c r="A968" s="5" t="s">
        <v>3330</v>
      </c>
      <c r="B968" s="6">
        <v>16245</v>
      </c>
      <c r="C968" s="6" t="str">
        <f t="shared" si="284"/>
        <v>Active/Unavailable</v>
      </c>
      <c r="D968" s="5" t="s">
        <v>29</v>
      </c>
      <c r="E968" s="5" t="s">
        <v>3331</v>
      </c>
      <c r="F968" s="5" t="s">
        <v>1211</v>
      </c>
      <c r="G968" s="5" t="str">
        <f t="shared" si="278"/>
        <v>Not Available</v>
      </c>
      <c r="H968" s="5" t="str">
        <f t="shared" si="283"/>
        <v>Not Available</v>
      </c>
      <c r="I968" s="5" t="s">
        <v>22</v>
      </c>
      <c r="J968" s="5" t="s">
        <v>3387</v>
      </c>
      <c r="K968" s="5" t="s">
        <v>3393</v>
      </c>
      <c r="L968" s="5" t="s">
        <v>22</v>
      </c>
      <c r="M968" s="5" t="s">
        <v>3530</v>
      </c>
      <c r="N968" s="5" t="s">
        <v>3716</v>
      </c>
      <c r="O968" s="5" t="s">
        <v>33</v>
      </c>
      <c r="P968" s="5" t="s">
        <v>26</v>
      </c>
      <c r="Q968" s="5" t="s">
        <v>34</v>
      </c>
      <c r="R968" s="5">
        <v>2136</v>
      </c>
      <c r="S968" s="5">
        <v>42.33643008</v>
      </c>
      <c r="T968" s="5">
        <v>-71.056927700000003</v>
      </c>
    </row>
    <row r="969" spans="1:20" x14ac:dyDescent="0.3">
      <c r="A969" s="5" t="s">
        <v>3332</v>
      </c>
      <c r="B969" s="6">
        <v>15479</v>
      </c>
      <c r="C969" s="6">
        <v>43188</v>
      </c>
      <c r="D969" s="5" t="s">
        <v>18</v>
      </c>
      <c r="E969" s="5" t="s">
        <v>824</v>
      </c>
      <c r="F969" s="5" t="s">
        <v>1343</v>
      </c>
      <c r="G969" s="5" t="str">
        <f t="shared" si="278"/>
        <v>Not Available</v>
      </c>
      <c r="H969" s="5" t="s">
        <v>1399</v>
      </c>
      <c r="I969" s="5" t="s">
        <v>22</v>
      </c>
      <c r="J969" s="5" t="s">
        <v>3387</v>
      </c>
      <c r="K969" s="5" t="s">
        <v>3393</v>
      </c>
      <c r="L969" s="5" t="s">
        <v>23</v>
      </c>
      <c r="M969" s="5" t="s">
        <v>3543</v>
      </c>
      <c r="N969" s="5" t="s">
        <v>3333</v>
      </c>
      <c r="O969" s="5" t="s">
        <v>33</v>
      </c>
      <c r="P969" s="5" t="s">
        <v>26</v>
      </c>
      <c r="Q969" s="5" t="s">
        <v>34</v>
      </c>
      <c r="R969" s="5">
        <v>2131</v>
      </c>
      <c r="S969" s="5">
        <v>42.325309606431603</v>
      </c>
      <c r="T969" s="5">
        <v>-71.091713920000004</v>
      </c>
    </row>
    <row r="970" spans="1:20" x14ac:dyDescent="0.3">
      <c r="A970" s="5" t="s">
        <v>3334</v>
      </c>
      <c r="B970" s="6">
        <v>15479</v>
      </c>
      <c r="C970" s="6" t="str">
        <f t="shared" ref="C970:C975" si="285">"Active/Unavailable"</f>
        <v>Active/Unavailable</v>
      </c>
      <c r="D970" s="5" t="s">
        <v>18</v>
      </c>
      <c r="E970" s="5" t="s">
        <v>3335</v>
      </c>
      <c r="F970" s="5" t="s">
        <v>1356</v>
      </c>
      <c r="G970" s="5" t="str">
        <f t="shared" si="278"/>
        <v>Not Available</v>
      </c>
      <c r="H970" s="5" t="s">
        <v>2210</v>
      </c>
      <c r="I970" s="5" t="s">
        <v>22</v>
      </c>
      <c r="J970" s="5" t="s">
        <v>3387</v>
      </c>
      <c r="K970" s="5" t="s">
        <v>3393</v>
      </c>
      <c r="L970" s="5" t="s">
        <v>23</v>
      </c>
      <c r="M970" s="5" t="s">
        <v>3400</v>
      </c>
      <c r="N970" s="5" t="s">
        <v>3336</v>
      </c>
      <c r="O970" s="5" t="s">
        <v>33</v>
      </c>
      <c r="P970" s="5" t="s">
        <v>26</v>
      </c>
      <c r="Q970" s="5" t="s">
        <v>34</v>
      </c>
      <c r="R970" s="5">
        <v>2136</v>
      </c>
      <c r="S970" s="5">
        <v>42.318958639394801</v>
      </c>
      <c r="T970" s="5">
        <v>-71.051753890000001</v>
      </c>
    </row>
    <row r="971" spans="1:20" x14ac:dyDescent="0.3">
      <c r="A971" s="5" t="s">
        <v>3337</v>
      </c>
      <c r="B971" s="6">
        <v>8841</v>
      </c>
      <c r="C971" s="6" t="str">
        <f t="shared" si="285"/>
        <v>Active/Unavailable</v>
      </c>
      <c r="D971" s="5" t="s">
        <v>29</v>
      </c>
      <c r="E971" s="5" t="s">
        <v>1515</v>
      </c>
      <c r="F971" s="5" t="s">
        <v>2169</v>
      </c>
      <c r="G971" s="5" t="str">
        <f t="shared" si="278"/>
        <v>Not Available</v>
      </c>
      <c r="H971" s="5" t="str">
        <f>"Not Available"</f>
        <v>Not Available</v>
      </c>
      <c r="I971" s="5" t="s">
        <v>65</v>
      </c>
      <c r="J971" s="5" t="s">
        <v>3387</v>
      </c>
      <c r="K971" s="5" t="s">
        <v>3393</v>
      </c>
      <c r="L971" s="5" t="s">
        <v>22</v>
      </c>
      <c r="M971" s="5" t="s">
        <v>3422</v>
      </c>
      <c r="N971" s="5" t="s">
        <v>3338</v>
      </c>
      <c r="O971" s="5" t="s">
        <v>373</v>
      </c>
      <c r="P971" s="5" t="s">
        <v>26</v>
      </c>
      <c r="Q971" s="5" t="s">
        <v>57</v>
      </c>
      <c r="R971" s="5">
        <v>2145</v>
      </c>
      <c r="S971" s="5">
        <v>42.357625515739002</v>
      </c>
      <c r="T971" s="5">
        <v>-71.040836740000003</v>
      </c>
    </row>
    <row r="972" spans="1:20" x14ac:dyDescent="0.3">
      <c r="A972" s="5" t="s">
        <v>3339</v>
      </c>
      <c r="B972" s="6">
        <v>14915</v>
      </c>
      <c r="C972" s="6" t="str">
        <f t="shared" si="285"/>
        <v>Active/Unavailable</v>
      </c>
      <c r="D972" s="5" t="s">
        <v>18</v>
      </c>
      <c r="E972" s="5" t="s">
        <v>3340</v>
      </c>
      <c r="F972" s="5" t="s">
        <v>1672</v>
      </c>
      <c r="G972" s="5" t="str">
        <f t="shared" si="278"/>
        <v>Not Available</v>
      </c>
      <c r="H972" s="5" t="s">
        <v>156</v>
      </c>
      <c r="I972" s="5" t="s">
        <v>22</v>
      </c>
      <c r="J972" s="5" t="s">
        <v>3387</v>
      </c>
      <c r="K972" s="5" t="s">
        <v>3393</v>
      </c>
      <c r="L972" s="5" t="s">
        <v>23</v>
      </c>
      <c r="M972" s="5" t="s">
        <v>3691</v>
      </c>
      <c r="N972" s="5" t="s">
        <v>3717</v>
      </c>
      <c r="O972" s="5" t="s">
        <v>33</v>
      </c>
      <c r="P972" s="5" t="s">
        <v>26</v>
      </c>
      <c r="Q972" s="5" t="s">
        <v>34</v>
      </c>
      <c r="R972" s="5">
        <v>2152</v>
      </c>
      <c r="S972" s="5">
        <v>42.331490186850502</v>
      </c>
      <c r="T972" s="5">
        <v>-71.0395197</v>
      </c>
    </row>
    <row r="973" spans="1:20" x14ac:dyDescent="0.3">
      <c r="A973" s="7" t="s">
        <v>3341</v>
      </c>
      <c r="B973" s="6">
        <v>15814</v>
      </c>
      <c r="C973" s="6" t="str">
        <f t="shared" si="285"/>
        <v>Active/Unavailable</v>
      </c>
      <c r="D973" s="5" t="s">
        <v>29</v>
      </c>
      <c r="E973" s="5" t="s">
        <v>3255</v>
      </c>
      <c r="F973" s="5" t="s">
        <v>3369</v>
      </c>
      <c r="G973" s="5" t="str">
        <f t="shared" si="278"/>
        <v>Not Available</v>
      </c>
      <c r="H973" s="5" t="str">
        <f>"Not Available"</f>
        <v>Not Available</v>
      </c>
      <c r="I973" s="5" t="s">
        <v>22</v>
      </c>
      <c r="J973" s="5" t="s">
        <v>3387</v>
      </c>
      <c r="K973" s="5" t="s">
        <v>3393</v>
      </c>
      <c r="L973" s="5" t="s">
        <v>22</v>
      </c>
      <c r="M973" s="5" t="s">
        <v>3530</v>
      </c>
      <c r="N973" s="5" t="s">
        <v>3342</v>
      </c>
      <c r="O973" s="5" t="s">
        <v>33</v>
      </c>
      <c r="P973" s="5" t="s">
        <v>26</v>
      </c>
      <c r="Q973" s="5" t="s">
        <v>34</v>
      </c>
      <c r="R973" s="5">
        <v>2134</v>
      </c>
      <c r="S973" s="5">
        <v>42.341971361829302</v>
      </c>
      <c r="T973" s="5">
        <v>-71.040624129999998</v>
      </c>
    </row>
    <row r="974" spans="1:20" x14ac:dyDescent="0.3">
      <c r="A974" s="5" t="s">
        <v>3343</v>
      </c>
      <c r="B974" s="6">
        <v>15094</v>
      </c>
      <c r="C974" s="6" t="str">
        <f t="shared" si="285"/>
        <v>Active/Unavailable</v>
      </c>
      <c r="D974" s="5" t="s">
        <v>18</v>
      </c>
      <c r="E974" s="5" t="s">
        <v>3344</v>
      </c>
      <c r="F974" s="5" t="s">
        <v>1311</v>
      </c>
      <c r="G974" s="5" t="str">
        <f t="shared" si="278"/>
        <v>Not Available</v>
      </c>
      <c r="H974" s="5" t="s">
        <v>490</v>
      </c>
      <c r="I974" s="5" t="s">
        <v>22</v>
      </c>
      <c r="J974" s="5" t="s">
        <v>3388</v>
      </c>
      <c r="K974" s="5" t="s">
        <v>3393</v>
      </c>
      <c r="L974" s="5" t="s">
        <v>23</v>
      </c>
      <c r="M974" s="5" t="s">
        <v>3549</v>
      </c>
      <c r="N974" s="5" t="s">
        <v>3345</v>
      </c>
      <c r="O974" s="5" t="s">
        <v>56</v>
      </c>
      <c r="P974" s="5" t="s">
        <v>26</v>
      </c>
      <c r="Q974" s="5" t="s">
        <v>57</v>
      </c>
      <c r="R974" s="5" t="str">
        <f>"0000"</f>
        <v>0000</v>
      </c>
      <c r="S974" s="5">
        <v>42.337040005514403</v>
      </c>
      <c r="T974" s="5">
        <v>-71.094676100000001</v>
      </c>
    </row>
    <row r="975" spans="1:20" x14ac:dyDescent="0.3">
      <c r="A975" s="5" t="s">
        <v>3346</v>
      </c>
      <c r="B975" s="6">
        <v>8446</v>
      </c>
      <c r="C975" s="6" t="str">
        <f t="shared" si="285"/>
        <v>Active/Unavailable</v>
      </c>
      <c r="D975" s="5" t="s">
        <v>18</v>
      </c>
      <c r="E975" s="5" t="s">
        <v>3347</v>
      </c>
      <c r="F975" s="5" t="s">
        <v>1593</v>
      </c>
      <c r="G975" s="5" t="str">
        <f t="shared" si="278"/>
        <v>Not Available</v>
      </c>
      <c r="H975" s="5" t="s">
        <v>286</v>
      </c>
      <c r="I975" s="5" t="s">
        <v>22</v>
      </c>
      <c r="J975" s="5" t="s">
        <v>3387</v>
      </c>
      <c r="K975" s="5" t="s">
        <v>3393</v>
      </c>
      <c r="L975" s="5" t="s">
        <v>23</v>
      </c>
      <c r="M975" s="5" t="s">
        <v>3621</v>
      </c>
      <c r="N975" s="5" t="s">
        <v>3348</v>
      </c>
      <c r="O975" s="5" t="s">
        <v>33</v>
      </c>
      <c r="P975" s="5" t="s">
        <v>26</v>
      </c>
      <c r="Q975" s="5" t="s">
        <v>34</v>
      </c>
      <c r="R975" s="5">
        <v>2128</v>
      </c>
      <c r="S975" s="5">
        <v>42.357332965487203</v>
      </c>
      <c r="T975" s="5">
        <v>-71.05737164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Veena Prasanth</cp:lastModifiedBy>
  <dcterms:created xsi:type="dcterms:W3CDTF">2026-10-26T17:44:59Z</dcterms:created>
  <dcterms:modified xsi:type="dcterms:W3CDTF">2026-10-28T17:51:59Z</dcterms:modified>
</cp:coreProperties>
</file>